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F85E0EC5-5701-4D32-87CB-4C28D21078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rm 1 and 2 total" sheetId="2" r:id="rId1"/>
    <sheet name="KE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Y62" i="2"/>
  <c r="X15" i="2"/>
  <c r="V15" i="2"/>
  <c r="X29" i="2"/>
  <c r="V29" i="2"/>
  <c r="V42" i="2"/>
  <c r="X42" i="2"/>
  <c r="X58" i="2"/>
  <c r="V58" i="2"/>
  <c r="U58" i="2"/>
  <c r="P42" i="3"/>
  <c r="P29" i="3"/>
  <c r="P15" i="3"/>
  <c r="O2" i="3"/>
  <c r="P36" i="3"/>
  <c r="P37" i="3"/>
  <c r="P38" i="3"/>
  <c r="P39" i="3"/>
  <c r="P40" i="3"/>
  <c r="P41" i="3"/>
  <c r="P31" i="3"/>
  <c r="P32" i="3"/>
  <c r="P33" i="3"/>
  <c r="P34" i="3"/>
  <c r="P35" i="3"/>
  <c r="P30" i="3"/>
  <c r="P17" i="3"/>
  <c r="P18" i="3"/>
  <c r="P19" i="3"/>
  <c r="P20" i="3"/>
  <c r="P21" i="3"/>
  <c r="P22" i="3"/>
  <c r="P23" i="3"/>
  <c r="P24" i="3"/>
  <c r="P25" i="3"/>
  <c r="P26" i="3"/>
  <c r="P27" i="3"/>
  <c r="P28" i="3"/>
  <c r="P16" i="3"/>
  <c r="P3" i="3"/>
  <c r="P4" i="3"/>
  <c r="P5" i="3"/>
  <c r="P6" i="3"/>
  <c r="P7" i="3"/>
  <c r="P8" i="3"/>
  <c r="P9" i="3"/>
  <c r="P10" i="3"/>
  <c r="P11" i="3"/>
  <c r="P12" i="3"/>
  <c r="P13" i="3"/>
  <c r="P14" i="3"/>
  <c r="T42" i="3"/>
  <c r="T29" i="3"/>
  <c r="X44" i="2" a="1"/>
  <c r="X44" i="2" s="1"/>
  <c r="X45" i="2" a="1"/>
  <c r="X45" i="2"/>
  <c r="X46" i="2" a="1"/>
  <c r="X46" i="2" s="1"/>
  <c r="X47" i="2" a="1"/>
  <c r="X47" i="2"/>
  <c r="X48" i="2" a="1"/>
  <c r="X48" i="2" s="1"/>
  <c r="X49" i="2" a="1"/>
  <c r="X49" i="2"/>
  <c r="X50" i="2" a="1"/>
  <c r="X50" i="2" s="1"/>
  <c r="X51" i="2" a="1"/>
  <c r="X51" i="2"/>
  <c r="X52" i="2" a="1"/>
  <c r="X52" i="2" s="1"/>
  <c r="X53" i="2" a="1"/>
  <c r="X53" i="2"/>
  <c r="X54" i="2" a="1"/>
  <c r="X54" i="2" s="1"/>
  <c r="X55" i="2" a="1"/>
  <c r="X55" i="2" s="1"/>
  <c r="X56" i="2" a="1"/>
  <c r="X56" i="2" s="1"/>
  <c r="X57" i="2" a="1"/>
  <c r="X57" i="2"/>
  <c r="X30" i="2" a="1"/>
  <c r="X30" i="2"/>
  <c r="X31" i="2" a="1"/>
  <c r="X31" i="2" s="1"/>
  <c r="X32" i="2" a="1"/>
  <c r="X32" i="2" s="1"/>
  <c r="X33" i="2" a="1"/>
  <c r="X33" i="2" s="1"/>
  <c r="X34" i="2" a="1"/>
  <c r="X34" i="2"/>
  <c r="X35" i="2" a="1"/>
  <c r="X35" i="2" s="1"/>
  <c r="X36" i="2" a="1"/>
  <c r="X36" i="2" s="1"/>
  <c r="X37" i="2" a="1"/>
  <c r="X37" i="2" s="1"/>
  <c r="X38" i="2" a="1"/>
  <c r="X38" i="2"/>
  <c r="X39" i="2" a="1"/>
  <c r="X39" i="2" s="1"/>
  <c r="X40" i="2" a="1"/>
  <c r="X40" i="2" s="1"/>
  <c r="X41" i="2" a="1"/>
  <c r="X41" i="2" s="1"/>
  <c r="X43" i="2" a="1"/>
  <c r="X43" i="2" s="1"/>
  <c r="X16" i="2" a="1"/>
  <c r="X16" i="2"/>
  <c r="X17" i="2" a="1"/>
  <c r="X17" i="2" s="1"/>
  <c r="X18" i="2" a="1"/>
  <c r="X18" i="2" s="1"/>
  <c r="X19" i="2" a="1"/>
  <c r="X19" i="2" s="1"/>
  <c r="X20" i="2" a="1"/>
  <c r="X20" i="2"/>
  <c r="X21" i="2" a="1"/>
  <c r="X21" i="2" s="1"/>
  <c r="X22" i="2" a="1"/>
  <c r="X22" i="2" s="1"/>
  <c r="X23" i="2" a="1"/>
  <c r="X23" i="2" s="1"/>
  <c r="X24" i="2" a="1"/>
  <c r="X24" i="2"/>
  <c r="X25" i="2" a="1"/>
  <c r="X25" i="2" s="1"/>
  <c r="X26" i="2" a="1"/>
  <c r="X26" i="2" s="1"/>
  <c r="X27" i="2" a="1"/>
  <c r="X27" i="2" s="1"/>
  <c r="X28" i="2" a="1"/>
  <c r="X28" i="2"/>
  <c r="V53" i="2" a="1"/>
  <c r="V53" i="2" s="1"/>
  <c r="V54" i="2" a="1"/>
  <c r="V54" i="2"/>
  <c r="V55" i="2" a="1"/>
  <c r="V55" i="2" s="1"/>
  <c r="V56" i="2" a="1"/>
  <c r="V56" i="2" s="1"/>
  <c r="V57" i="2" a="1"/>
  <c r="V57" i="2" s="1"/>
  <c r="V40" i="2" a="1"/>
  <c r="V40" i="2" s="1"/>
  <c r="V41" i="2" a="1"/>
  <c r="V41" i="2"/>
  <c r="V43" i="2" a="1"/>
  <c r="V43" i="2" s="1"/>
  <c r="V44" i="2" a="1"/>
  <c r="V44" i="2" s="1"/>
  <c r="V45" i="2" a="1"/>
  <c r="V45" i="2"/>
  <c r="V46" i="2" a="1"/>
  <c r="V46" i="2" s="1"/>
  <c r="V47" i="2" a="1"/>
  <c r="V47" i="2" s="1"/>
  <c r="V48" i="2" a="1"/>
  <c r="V48" i="2" s="1"/>
  <c r="V49" i="2" a="1"/>
  <c r="V49" i="2"/>
  <c r="V50" i="2" a="1"/>
  <c r="V50" i="2" s="1"/>
  <c r="V51" i="2" a="1"/>
  <c r="V51" i="2" s="1"/>
  <c r="V52" i="2" a="1"/>
  <c r="V52" i="2" s="1"/>
  <c r="V30" i="2" a="1"/>
  <c r="V30" i="2"/>
  <c r="V31" i="2" a="1"/>
  <c r="V31" i="2"/>
  <c r="V32" i="2" a="1"/>
  <c r="V32" i="2" s="1"/>
  <c r="V33" i="2" a="1"/>
  <c r="V33" i="2" s="1"/>
  <c r="V34" i="2" a="1"/>
  <c r="V34" i="2"/>
  <c r="V35" i="2" a="1"/>
  <c r="V35" i="2"/>
  <c r="V36" i="2" a="1"/>
  <c r="V36" i="2" s="1"/>
  <c r="V37" i="2" a="1"/>
  <c r="V37" i="2" s="1"/>
  <c r="V38" i="2" a="1"/>
  <c r="V38" i="2"/>
  <c r="V39" i="2" a="1"/>
  <c r="V39" i="2"/>
  <c r="V3" i="2" a="1"/>
  <c r="V3" i="2" s="1"/>
  <c r="V4" i="2" a="1"/>
  <c r="V4" i="2"/>
  <c r="V5" i="2" a="1"/>
  <c r="V5" i="2" s="1"/>
  <c r="V6" i="2" a="1"/>
  <c r="V6" i="2"/>
  <c r="V7" i="2" a="1"/>
  <c r="V7" i="2" s="1"/>
  <c r="V8" i="2" a="1"/>
  <c r="V8" i="2"/>
  <c r="V9" i="2" a="1"/>
  <c r="V9" i="2" s="1"/>
  <c r="V10" i="2" a="1"/>
  <c r="V10" i="2" s="1"/>
  <c r="V11" i="2" a="1"/>
  <c r="V11" i="2" s="1"/>
  <c r="V12" i="2" a="1"/>
  <c r="V12" i="2"/>
  <c r="V13" i="2" a="1"/>
  <c r="V13" i="2" s="1"/>
  <c r="V14" i="2" a="1"/>
  <c r="V14" i="2"/>
  <c r="V16" i="2" a="1"/>
  <c r="V16" i="2"/>
  <c r="V17" i="2" a="1"/>
  <c r="V17" i="2" s="1"/>
  <c r="V18" i="2" a="1"/>
  <c r="V18" i="2"/>
  <c r="V19" i="2" a="1"/>
  <c r="V19" i="2" s="1"/>
  <c r="V20" i="2" a="1"/>
  <c r="V20" i="2"/>
  <c r="V21" i="2" a="1"/>
  <c r="V21" i="2" s="1"/>
  <c r="V22" i="2" a="1"/>
  <c r="V22" i="2"/>
  <c r="V23" i="2" a="1"/>
  <c r="V23" i="2" s="1"/>
  <c r="V24" i="2" a="1"/>
  <c r="V24" i="2"/>
  <c r="V25" i="2" a="1"/>
  <c r="V25" i="2" s="1"/>
  <c r="V26" i="2" a="1"/>
  <c r="V26" i="2"/>
  <c r="V27" i="2" a="1"/>
  <c r="V27" i="2" s="1"/>
  <c r="V28" i="2" a="1"/>
  <c r="V28" i="2" s="1"/>
  <c r="V2" i="2" a="1"/>
  <c r="V2" i="2" s="1"/>
  <c r="X3" i="2" a="1"/>
  <c r="X3" i="2" s="1"/>
  <c r="X4" i="2" a="1"/>
  <c r="X4" i="2"/>
  <c r="X5" i="2" a="1"/>
  <c r="X5" i="2" s="1"/>
  <c r="X6" i="2" a="1"/>
  <c r="X6" i="2" s="1"/>
  <c r="X7" i="2" a="1"/>
  <c r="X7" i="2" s="1"/>
  <c r="X8" i="2" a="1"/>
  <c r="X8" i="2"/>
  <c r="X9" i="2" a="1"/>
  <c r="X9" i="2" s="1"/>
  <c r="X10" i="2" a="1"/>
  <c r="X10" i="2" s="1"/>
  <c r="X11" i="2" a="1"/>
  <c r="X11" i="2" s="1"/>
  <c r="X12" i="2" a="1"/>
  <c r="X12" i="2"/>
  <c r="X13" i="2" a="1"/>
  <c r="X13" i="2" s="1"/>
  <c r="X14" i="2" a="1"/>
  <c r="X14" i="2" s="1"/>
  <c r="X2" i="2" a="1"/>
  <c r="X2" i="2" s="1"/>
  <c r="Q42" i="3"/>
  <c r="Q29" i="3"/>
  <c r="Q15" i="3"/>
  <c r="S42" i="3"/>
  <c r="S29" i="3"/>
  <c r="T15" i="3"/>
  <c r="S15" i="3"/>
  <c r="R40" i="3" a="1"/>
  <c r="R40" i="3" s="1"/>
  <c r="R41" i="3" a="1"/>
  <c r="R41" i="3" s="1"/>
  <c r="R31" i="3" a="1"/>
  <c r="R31" i="3" s="1"/>
  <c r="R32" i="3" a="1"/>
  <c r="R32" i="3" s="1"/>
  <c r="R33" i="3" a="1"/>
  <c r="R33" i="3" s="1"/>
  <c r="R34" i="3" a="1"/>
  <c r="R34" i="3" s="1"/>
  <c r="R35" i="3" a="1"/>
  <c r="R35" i="3" s="1"/>
  <c r="R36" i="3" a="1"/>
  <c r="R36" i="3" s="1"/>
  <c r="R37" i="3" a="1"/>
  <c r="R37" i="3" s="1"/>
  <c r="R38" i="3" a="1"/>
  <c r="R38" i="3" s="1"/>
  <c r="R39" i="3" a="1"/>
  <c r="R39" i="3" s="1"/>
  <c r="R30" i="3" a="1"/>
  <c r="R30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R22" i="3" a="1"/>
  <c r="R22" i="3" s="1"/>
  <c r="R23" i="3" a="1"/>
  <c r="R23" i="3" s="1"/>
  <c r="R24" i="3" a="1"/>
  <c r="R24" i="3" s="1"/>
  <c r="R25" i="3" a="1"/>
  <c r="R25" i="3" s="1"/>
  <c r="R26" i="3" a="1"/>
  <c r="R26" i="3"/>
  <c r="R27" i="3" a="1"/>
  <c r="R27" i="3" s="1"/>
  <c r="R28" i="3" a="1"/>
  <c r="R28" i="3" s="1"/>
  <c r="R16" i="3" a="1"/>
  <c r="R16" i="3" s="1"/>
  <c r="R3" i="3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 s="1"/>
  <c r="R2" i="3" a="1"/>
  <c r="R2" i="3" s="1"/>
  <c r="W41" i="3" l="1"/>
  <c r="V41" i="3"/>
  <c r="U41" i="3"/>
  <c r="X41" i="3" s="1"/>
  <c r="Y41" i="3" s="1"/>
  <c r="O41" i="3"/>
  <c r="N41" i="3"/>
  <c r="L41" i="3"/>
  <c r="J41" i="3"/>
  <c r="H41" i="3"/>
  <c r="W40" i="3"/>
  <c r="V40" i="3"/>
  <c r="U40" i="3"/>
  <c r="O40" i="3"/>
  <c r="N40" i="3"/>
  <c r="L40" i="3"/>
  <c r="J40" i="3"/>
  <c r="H40" i="3"/>
  <c r="W39" i="3"/>
  <c r="V39" i="3"/>
  <c r="U39" i="3"/>
  <c r="O39" i="3"/>
  <c r="N39" i="3"/>
  <c r="L39" i="3"/>
  <c r="J39" i="3"/>
  <c r="H39" i="3"/>
  <c r="W38" i="3"/>
  <c r="V38" i="3"/>
  <c r="U38" i="3"/>
  <c r="X38" i="3" s="1"/>
  <c r="Y38" i="3" s="1"/>
  <c r="O38" i="3"/>
  <c r="N38" i="3"/>
  <c r="L38" i="3"/>
  <c r="J38" i="3"/>
  <c r="H38" i="3"/>
  <c r="W37" i="3"/>
  <c r="V37" i="3"/>
  <c r="U37" i="3"/>
  <c r="X37" i="3" s="1"/>
  <c r="Y37" i="3" s="1"/>
  <c r="O37" i="3"/>
  <c r="N37" i="3"/>
  <c r="L37" i="3"/>
  <c r="J37" i="3"/>
  <c r="H37" i="3"/>
  <c r="W36" i="3"/>
  <c r="V36" i="3"/>
  <c r="U36" i="3"/>
  <c r="O36" i="3"/>
  <c r="N36" i="3"/>
  <c r="L36" i="3"/>
  <c r="J36" i="3"/>
  <c r="H36" i="3"/>
  <c r="W35" i="3"/>
  <c r="V35" i="3"/>
  <c r="U35" i="3"/>
  <c r="O35" i="3"/>
  <c r="N35" i="3"/>
  <c r="L35" i="3"/>
  <c r="J35" i="3"/>
  <c r="H35" i="3"/>
  <c r="W34" i="3"/>
  <c r="V34" i="3"/>
  <c r="U34" i="3"/>
  <c r="O34" i="3"/>
  <c r="N34" i="3"/>
  <c r="L34" i="3"/>
  <c r="J34" i="3"/>
  <c r="H34" i="3"/>
  <c r="W33" i="3"/>
  <c r="V33" i="3"/>
  <c r="U33" i="3"/>
  <c r="O33" i="3"/>
  <c r="N33" i="3"/>
  <c r="L33" i="3"/>
  <c r="J33" i="3"/>
  <c r="H33" i="3"/>
  <c r="W32" i="3"/>
  <c r="V32" i="3"/>
  <c r="X32" i="3" s="1"/>
  <c r="Y32" i="3" s="1"/>
  <c r="U32" i="3"/>
  <c r="O32" i="3"/>
  <c r="N32" i="3"/>
  <c r="L32" i="3"/>
  <c r="J32" i="3"/>
  <c r="H32" i="3"/>
  <c r="W31" i="3"/>
  <c r="V31" i="3"/>
  <c r="U31" i="3"/>
  <c r="O31" i="3"/>
  <c r="N31" i="3"/>
  <c r="L31" i="3"/>
  <c r="J31" i="3"/>
  <c r="H31" i="3"/>
  <c r="W30" i="3"/>
  <c r="V30" i="3"/>
  <c r="U30" i="3"/>
  <c r="X30" i="3" s="1"/>
  <c r="Y30" i="3" s="1"/>
  <c r="O30" i="3"/>
  <c r="O42" i="3" s="1"/>
  <c r="N30" i="3"/>
  <c r="L30" i="3"/>
  <c r="J30" i="3"/>
  <c r="H30" i="3"/>
  <c r="W28" i="3"/>
  <c r="V28" i="3"/>
  <c r="U28" i="3"/>
  <c r="X28" i="3" s="1"/>
  <c r="Y28" i="3" s="1"/>
  <c r="O28" i="3"/>
  <c r="N28" i="3"/>
  <c r="L28" i="3"/>
  <c r="J28" i="3"/>
  <c r="H28" i="3"/>
  <c r="W27" i="3"/>
  <c r="V27" i="3"/>
  <c r="U27" i="3"/>
  <c r="O27" i="3"/>
  <c r="N27" i="3"/>
  <c r="L27" i="3"/>
  <c r="J27" i="3"/>
  <c r="H27" i="3"/>
  <c r="W26" i="3"/>
  <c r="V26" i="3"/>
  <c r="U26" i="3"/>
  <c r="O26" i="3"/>
  <c r="N26" i="3"/>
  <c r="L26" i="3"/>
  <c r="J26" i="3"/>
  <c r="H26" i="3"/>
  <c r="W25" i="3"/>
  <c r="V25" i="3"/>
  <c r="U25" i="3"/>
  <c r="O25" i="3"/>
  <c r="N25" i="3"/>
  <c r="L25" i="3"/>
  <c r="J25" i="3"/>
  <c r="H25" i="3"/>
  <c r="W24" i="3"/>
  <c r="V24" i="3"/>
  <c r="U24" i="3"/>
  <c r="O24" i="3"/>
  <c r="N24" i="3"/>
  <c r="L24" i="3"/>
  <c r="J24" i="3"/>
  <c r="H24" i="3"/>
  <c r="W23" i="3"/>
  <c r="V23" i="3"/>
  <c r="U23" i="3"/>
  <c r="O23" i="3"/>
  <c r="N23" i="3"/>
  <c r="L23" i="3"/>
  <c r="J23" i="3"/>
  <c r="H23" i="3"/>
  <c r="W22" i="3"/>
  <c r="V22" i="3"/>
  <c r="U22" i="3"/>
  <c r="X22" i="3" s="1"/>
  <c r="Y22" i="3" s="1"/>
  <c r="O22" i="3"/>
  <c r="N22" i="3"/>
  <c r="L22" i="3"/>
  <c r="J22" i="3"/>
  <c r="H22" i="3"/>
  <c r="W21" i="3"/>
  <c r="V21" i="3"/>
  <c r="U21" i="3"/>
  <c r="O21" i="3"/>
  <c r="N21" i="3"/>
  <c r="L21" i="3"/>
  <c r="J21" i="3"/>
  <c r="H21" i="3"/>
  <c r="W20" i="3"/>
  <c r="V20" i="3"/>
  <c r="U20" i="3"/>
  <c r="X20" i="3" s="1"/>
  <c r="Y20" i="3" s="1"/>
  <c r="O20" i="3"/>
  <c r="N20" i="3"/>
  <c r="L20" i="3"/>
  <c r="J20" i="3"/>
  <c r="H20" i="3"/>
  <c r="W19" i="3"/>
  <c r="V19" i="3"/>
  <c r="U19" i="3"/>
  <c r="O19" i="3"/>
  <c r="N19" i="3"/>
  <c r="L19" i="3"/>
  <c r="J19" i="3"/>
  <c r="H19" i="3"/>
  <c r="W18" i="3"/>
  <c r="V18" i="3"/>
  <c r="U18" i="3"/>
  <c r="O18" i="3"/>
  <c r="N18" i="3"/>
  <c r="L18" i="3"/>
  <c r="J18" i="3"/>
  <c r="H18" i="3"/>
  <c r="W17" i="3"/>
  <c r="V17" i="3"/>
  <c r="U17" i="3"/>
  <c r="X17" i="3" s="1"/>
  <c r="Y17" i="3" s="1"/>
  <c r="O17" i="3"/>
  <c r="N17" i="3"/>
  <c r="L17" i="3"/>
  <c r="J17" i="3"/>
  <c r="H17" i="3"/>
  <c r="W16" i="3"/>
  <c r="V16" i="3"/>
  <c r="X16" i="3" s="1"/>
  <c r="Y16" i="3" s="1"/>
  <c r="U16" i="3"/>
  <c r="O16" i="3"/>
  <c r="N16" i="3"/>
  <c r="L16" i="3"/>
  <c r="J16" i="3"/>
  <c r="H16" i="3"/>
  <c r="W14" i="3"/>
  <c r="X14" i="3" s="1"/>
  <c r="Y14" i="3" s="1"/>
  <c r="V14" i="3"/>
  <c r="U14" i="3"/>
  <c r="O14" i="3"/>
  <c r="N14" i="3"/>
  <c r="L14" i="3"/>
  <c r="J14" i="3"/>
  <c r="H14" i="3"/>
  <c r="W13" i="3"/>
  <c r="V13" i="3"/>
  <c r="U13" i="3"/>
  <c r="O13" i="3"/>
  <c r="N13" i="3"/>
  <c r="L13" i="3"/>
  <c r="J13" i="3"/>
  <c r="H13" i="3"/>
  <c r="W12" i="3"/>
  <c r="V12" i="3"/>
  <c r="U12" i="3"/>
  <c r="O12" i="3"/>
  <c r="N12" i="3"/>
  <c r="L12" i="3"/>
  <c r="J12" i="3"/>
  <c r="H12" i="3"/>
  <c r="W11" i="3"/>
  <c r="V11" i="3"/>
  <c r="X11" i="3" s="1"/>
  <c r="Y11" i="3" s="1"/>
  <c r="U11" i="3"/>
  <c r="O11" i="3"/>
  <c r="N11" i="3"/>
  <c r="L11" i="3"/>
  <c r="J11" i="3"/>
  <c r="H11" i="3"/>
  <c r="W10" i="3"/>
  <c r="V10" i="3"/>
  <c r="U10" i="3"/>
  <c r="O10" i="3"/>
  <c r="N10" i="3"/>
  <c r="L10" i="3"/>
  <c r="J10" i="3"/>
  <c r="H10" i="3"/>
  <c r="W9" i="3"/>
  <c r="V9" i="3"/>
  <c r="U9" i="3"/>
  <c r="O9" i="3"/>
  <c r="N9" i="3"/>
  <c r="L9" i="3"/>
  <c r="J9" i="3"/>
  <c r="H9" i="3"/>
  <c r="W8" i="3"/>
  <c r="V8" i="3"/>
  <c r="U8" i="3"/>
  <c r="O8" i="3"/>
  <c r="N8" i="3"/>
  <c r="L8" i="3"/>
  <c r="J8" i="3"/>
  <c r="H8" i="3"/>
  <c r="W7" i="3"/>
  <c r="V7" i="3"/>
  <c r="U7" i="3"/>
  <c r="O7" i="3"/>
  <c r="N7" i="3"/>
  <c r="L7" i="3"/>
  <c r="J7" i="3"/>
  <c r="H7" i="3"/>
  <c r="W6" i="3"/>
  <c r="V6" i="3"/>
  <c r="U6" i="3"/>
  <c r="O6" i="3"/>
  <c r="N6" i="3"/>
  <c r="L6" i="3"/>
  <c r="J6" i="3"/>
  <c r="H6" i="3"/>
  <c r="W5" i="3"/>
  <c r="V5" i="3"/>
  <c r="U5" i="3"/>
  <c r="O5" i="3"/>
  <c r="N5" i="3"/>
  <c r="L5" i="3"/>
  <c r="J5" i="3"/>
  <c r="H5" i="3"/>
  <c r="W4" i="3"/>
  <c r="V4" i="3"/>
  <c r="U4" i="3"/>
  <c r="X4" i="3" s="1"/>
  <c r="Y4" i="3" s="1"/>
  <c r="O4" i="3"/>
  <c r="N4" i="3"/>
  <c r="L4" i="3"/>
  <c r="J4" i="3"/>
  <c r="H4" i="3"/>
  <c r="W3" i="3"/>
  <c r="V3" i="3"/>
  <c r="X3" i="3" s="1"/>
  <c r="Y3" i="3" s="1"/>
  <c r="U3" i="3"/>
  <c r="O3" i="3"/>
  <c r="N3" i="3"/>
  <c r="L3" i="3"/>
  <c r="J3" i="3"/>
  <c r="H3" i="3"/>
  <c r="W2" i="3"/>
  <c r="V2" i="3"/>
  <c r="U2" i="3"/>
  <c r="N2" i="3"/>
  <c r="L2" i="3"/>
  <c r="J2" i="3"/>
  <c r="H2" i="3"/>
  <c r="O58" i="2"/>
  <c r="M58" i="2"/>
  <c r="K58" i="2"/>
  <c r="I58" i="2"/>
  <c r="Y57" i="2"/>
  <c r="S57" i="2"/>
  <c r="Q57" i="2"/>
  <c r="P57" i="2"/>
  <c r="N57" i="2"/>
  <c r="L57" i="2"/>
  <c r="J57" i="2"/>
  <c r="Y56" i="2"/>
  <c r="Q56" i="2"/>
  <c r="P56" i="2"/>
  <c r="N56" i="2"/>
  <c r="L56" i="2"/>
  <c r="J56" i="2"/>
  <c r="Y55" i="2"/>
  <c r="Q55" i="2"/>
  <c r="P55" i="2"/>
  <c r="N55" i="2"/>
  <c r="L55" i="2"/>
  <c r="J55" i="2"/>
  <c r="Y54" i="2"/>
  <c r="Z54" i="2"/>
  <c r="Y53" i="2"/>
  <c r="Q53" i="2"/>
  <c r="P53" i="2"/>
  <c r="N53" i="2"/>
  <c r="L53" i="2"/>
  <c r="J53" i="2"/>
  <c r="Y52" i="2"/>
  <c r="S52" i="2"/>
  <c r="Q52" i="2"/>
  <c r="P52" i="2"/>
  <c r="N52" i="2"/>
  <c r="L52" i="2"/>
  <c r="J52" i="2"/>
  <c r="Y51" i="2"/>
  <c r="Q51" i="2"/>
  <c r="P51" i="2"/>
  <c r="N51" i="2"/>
  <c r="L51" i="2"/>
  <c r="J51" i="2"/>
  <c r="Y50" i="2"/>
  <c r="Q50" i="2"/>
  <c r="P50" i="2"/>
  <c r="N50" i="2"/>
  <c r="L50" i="2"/>
  <c r="J50" i="2"/>
  <c r="Y49" i="2"/>
  <c r="Q49" i="2"/>
  <c r="P49" i="2"/>
  <c r="N49" i="2"/>
  <c r="L49" i="2"/>
  <c r="J49" i="2"/>
  <c r="Y48" i="2"/>
  <c r="Q48" i="2"/>
  <c r="P48" i="2"/>
  <c r="N48" i="2"/>
  <c r="L48" i="2"/>
  <c r="J48" i="2"/>
  <c r="Y47" i="2"/>
  <c r="S47" i="2"/>
  <c r="Q47" i="2"/>
  <c r="P47" i="2"/>
  <c r="N47" i="2"/>
  <c r="L47" i="2"/>
  <c r="J47" i="2"/>
  <c r="Y46" i="2"/>
  <c r="Q46" i="2"/>
  <c r="Q58" i="2" s="1"/>
  <c r="P46" i="2"/>
  <c r="N46" i="2"/>
  <c r="L46" i="2"/>
  <c r="J46" i="2"/>
  <c r="Y45" i="2"/>
  <c r="Q45" i="2"/>
  <c r="P45" i="2"/>
  <c r="N45" i="2"/>
  <c r="L45" i="2"/>
  <c r="J45" i="2"/>
  <c r="Y44" i="2"/>
  <c r="Q44" i="2"/>
  <c r="P44" i="2"/>
  <c r="N44" i="2"/>
  <c r="L44" i="2"/>
  <c r="J44" i="2"/>
  <c r="Y43" i="2"/>
  <c r="Q43" i="2"/>
  <c r="P43" i="2"/>
  <c r="N43" i="2"/>
  <c r="L43" i="2"/>
  <c r="J43" i="2"/>
  <c r="U42" i="2"/>
  <c r="O42" i="2"/>
  <c r="M42" i="2"/>
  <c r="K42" i="2"/>
  <c r="I42" i="2"/>
  <c r="Y41" i="2"/>
  <c r="Q41" i="2"/>
  <c r="P41" i="2"/>
  <c r="N41" i="2"/>
  <c r="L41" i="2"/>
  <c r="J41" i="2"/>
  <c r="Y40" i="2"/>
  <c r="Q40" i="2"/>
  <c r="P40" i="2"/>
  <c r="N40" i="2"/>
  <c r="L40" i="2"/>
  <c r="J40" i="2"/>
  <c r="Y39" i="2"/>
  <c r="Q39" i="2"/>
  <c r="P39" i="2"/>
  <c r="N39" i="2"/>
  <c r="L39" i="2"/>
  <c r="J39" i="2"/>
  <c r="Y38" i="2"/>
  <c r="Q38" i="2"/>
  <c r="P38" i="2"/>
  <c r="N38" i="2"/>
  <c r="L38" i="2"/>
  <c r="J38" i="2"/>
  <c r="Y37" i="2"/>
  <c r="Q37" i="2"/>
  <c r="P37" i="2"/>
  <c r="N37" i="2"/>
  <c r="L37" i="2"/>
  <c r="J37" i="2"/>
  <c r="Y36" i="2"/>
  <c r="S36" i="2"/>
  <c r="Q36" i="2"/>
  <c r="P36" i="2"/>
  <c r="N36" i="2"/>
  <c r="L36" i="2"/>
  <c r="J36" i="2"/>
  <c r="Y35" i="2"/>
  <c r="Q35" i="2"/>
  <c r="P35" i="2"/>
  <c r="N35" i="2"/>
  <c r="L35" i="2"/>
  <c r="J35" i="2"/>
  <c r="Y34" i="2"/>
  <c r="Q34" i="2"/>
  <c r="P34" i="2"/>
  <c r="N34" i="2"/>
  <c r="L34" i="2"/>
  <c r="J34" i="2"/>
  <c r="Y33" i="2"/>
  <c r="Q33" i="2"/>
  <c r="P33" i="2"/>
  <c r="N33" i="2"/>
  <c r="L33" i="2"/>
  <c r="J33" i="2"/>
  <c r="Y32" i="2"/>
  <c r="Q32" i="2"/>
  <c r="P32" i="2"/>
  <c r="N32" i="2"/>
  <c r="L32" i="2"/>
  <c r="J32" i="2"/>
  <c r="Y31" i="2"/>
  <c r="S31" i="2"/>
  <c r="Q31" i="2"/>
  <c r="Q42" i="2" s="1"/>
  <c r="P31" i="2"/>
  <c r="N31" i="2"/>
  <c r="L31" i="2"/>
  <c r="J31" i="2"/>
  <c r="Y30" i="2"/>
  <c r="Q30" i="2"/>
  <c r="P30" i="2"/>
  <c r="N30" i="2"/>
  <c r="L30" i="2"/>
  <c r="S30" i="2" s="1"/>
  <c r="J30" i="2"/>
  <c r="U29" i="2"/>
  <c r="O29" i="2"/>
  <c r="M29" i="2"/>
  <c r="K29" i="2"/>
  <c r="I29" i="2"/>
  <c r="Y28" i="2"/>
  <c r="Q28" i="2"/>
  <c r="P28" i="2"/>
  <c r="N28" i="2"/>
  <c r="L28" i="2"/>
  <c r="J28" i="2"/>
  <c r="Y27" i="2"/>
  <c r="Q27" i="2"/>
  <c r="P27" i="2"/>
  <c r="N27" i="2"/>
  <c r="L27" i="2"/>
  <c r="J27" i="2"/>
  <c r="Y26" i="2"/>
  <c r="Q26" i="2"/>
  <c r="P26" i="2"/>
  <c r="N26" i="2"/>
  <c r="L26" i="2"/>
  <c r="J26" i="2"/>
  <c r="Y25" i="2"/>
  <c r="Q25" i="2"/>
  <c r="P25" i="2"/>
  <c r="N25" i="2"/>
  <c r="L25" i="2"/>
  <c r="J25" i="2"/>
  <c r="Y24" i="2"/>
  <c r="Q24" i="2"/>
  <c r="P24" i="2"/>
  <c r="N24" i="2"/>
  <c r="L24" i="2"/>
  <c r="J24" i="2"/>
  <c r="Y23" i="2"/>
  <c r="Q23" i="2"/>
  <c r="P23" i="2"/>
  <c r="N23" i="2"/>
  <c r="L23" i="2"/>
  <c r="J23" i="2"/>
  <c r="Y22" i="2"/>
  <c r="Q22" i="2"/>
  <c r="P22" i="2"/>
  <c r="N22" i="2"/>
  <c r="L22" i="2"/>
  <c r="J22" i="2"/>
  <c r="Y21" i="2"/>
  <c r="S21" i="2"/>
  <c r="Q21" i="2"/>
  <c r="P21" i="2"/>
  <c r="N21" i="2"/>
  <c r="L21" i="2"/>
  <c r="J21" i="2"/>
  <c r="Y20" i="2"/>
  <c r="Z20" i="2"/>
  <c r="Y19" i="2"/>
  <c r="Q19" i="2"/>
  <c r="P19" i="2"/>
  <c r="N19" i="2"/>
  <c r="L19" i="2"/>
  <c r="J19" i="2"/>
  <c r="Y18" i="2"/>
  <c r="Q18" i="2"/>
  <c r="P18" i="2"/>
  <c r="N18" i="2"/>
  <c r="L18" i="2"/>
  <c r="J18" i="2"/>
  <c r="Y17" i="2"/>
  <c r="S17" i="2"/>
  <c r="Q17" i="2"/>
  <c r="P17" i="2"/>
  <c r="N17" i="2"/>
  <c r="L17" i="2"/>
  <c r="J17" i="2"/>
  <c r="Y16" i="2"/>
  <c r="Q16" i="2"/>
  <c r="Q29" i="2" s="1"/>
  <c r="P16" i="2"/>
  <c r="N16" i="2"/>
  <c r="L16" i="2"/>
  <c r="J16" i="2"/>
  <c r="U15" i="2"/>
  <c r="O15" i="2"/>
  <c r="M15" i="2"/>
  <c r="K15" i="2"/>
  <c r="I15" i="2"/>
  <c r="Y14" i="2"/>
  <c r="S14" i="2"/>
  <c r="Q14" i="2"/>
  <c r="P14" i="2"/>
  <c r="N14" i="2"/>
  <c r="L14" i="2"/>
  <c r="J14" i="2"/>
  <c r="Y13" i="2"/>
  <c r="Q13" i="2"/>
  <c r="P13" i="2"/>
  <c r="N13" i="2"/>
  <c r="L13" i="2"/>
  <c r="J13" i="2"/>
  <c r="Y12" i="2"/>
  <c r="Q12" i="2"/>
  <c r="P12" i="2"/>
  <c r="N12" i="2"/>
  <c r="L12" i="2"/>
  <c r="J12" i="2"/>
  <c r="Y11" i="2"/>
  <c r="Q11" i="2"/>
  <c r="P11" i="2"/>
  <c r="N11" i="2"/>
  <c r="L11" i="2"/>
  <c r="J11" i="2"/>
  <c r="Y10" i="2"/>
  <c r="S10" i="2"/>
  <c r="Q10" i="2"/>
  <c r="P10" i="2"/>
  <c r="N10" i="2"/>
  <c r="L10" i="2"/>
  <c r="J10" i="2"/>
  <c r="Y9" i="2"/>
  <c r="Q9" i="2"/>
  <c r="P9" i="2"/>
  <c r="N9" i="2"/>
  <c r="L9" i="2"/>
  <c r="J9" i="2"/>
  <c r="Y8" i="2"/>
  <c r="Q8" i="2"/>
  <c r="P8" i="2"/>
  <c r="N8" i="2"/>
  <c r="L8" i="2"/>
  <c r="J8" i="2"/>
  <c r="Y7" i="2"/>
  <c r="Q7" i="2"/>
  <c r="P7" i="2"/>
  <c r="N7" i="2"/>
  <c r="L7" i="2"/>
  <c r="J7" i="2"/>
  <c r="Y6" i="2"/>
  <c r="S6" i="2"/>
  <c r="Q6" i="2"/>
  <c r="P6" i="2"/>
  <c r="N6" i="2"/>
  <c r="L6" i="2"/>
  <c r="J6" i="2"/>
  <c r="Y5" i="2"/>
  <c r="Q5" i="2"/>
  <c r="P5" i="2"/>
  <c r="N5" i="2"/>
  <c r="L5" i="2"/>
  <c r="J5" i="2"/>
  <c r="Y4" i="2"/>
  <c r="Q4" i="2"/>
  <c r="P4" i="2"/>
  <c r="N4" i="2"/>
  <c r="L4" i="2"/>
  <c r="J4" i="2"/>
  <c r="Y3" i="2"/>
  <c r="Z3" i="2"/>
  <c r="Y2" i="2"/>
  <c r="S2" i="2"/>
  <c r="Q2" i="2"/>
  <c r="Q15" i="2" s="1"/>
  <c r="P2" i="2"/>
  <c r="N2" i="2"/>
  <c r="L2" i="2"/>
  <c r="J2" i="2"/>
  <c r="X36" i="3" l="1"/>
  <c r="Y36" i="3" s="1"/>
  <c r="J15" i="3"/>
  <c r="X12" i="3"/>
  <c r="Y12" i="3" s="1"/>
  <c r="N29" i="3"/>
  <c r="X6" i="3"/>
  <c r="Y6" i="3" s="1"/>
  <c r="X18" i="3"/>
  <c r="Y18" i="3" s="1"/>
  <c r="X34" i="3"/>
  <c r="Y34" i="3" s="1"/>
  <c r="O15" i="3"/>
  <c r="X19" i="3"/>
  <c r="Y19" i="3" s="1"/>
  <c r="X27" i="3"/>
  <c r="Y27" i="3" s="1"/>
  <c r="X35" i="3"/>
  <c r="Y35" i="3" s="1"/>
  <c r="Z2" i="2"/>
  <c r="Z20" i="3"/>
  <c r="H42" i="3"/>
  <c r="Z35" i="3"/>
  <c r="X40" i="3"/>
  <c r="Y40" i="3" s="1"/>
  <c r="X2" i="3"/>
  <c r="Y2" i="3" s="1"/>
  <c r="Z8" i="3"/>
  <c r="X9" i="3"/>
  <c r="Y9" i="3" s="1"/>
  <c r="X26" i="3"/>
  <c r="Y26" i="3" s="1"/>
  <c r="J42" i="3"/>
  <c r="X21" i="3"/>
  <c r="Y21" i="3" s="1"/>
  <c r="L42" i="3"/>
  <c r="Z11" i="3"/>
  <c r="H29" i="3"/>
  <c r="N42" i="3"/>
  <c r="Z10" i="3"/>
  <c r="J29" i="3"/>
  <c r="Z18" i="3"/>
  <c r="Z19" i="3"/>
  <c r="H15" i="3"/>
  <c r="X5" i="3"/>
  <c r="Y5" i="3" s="1"/>
  <c r="X10" i="3"/>
  <c r="Y10" i="3" s="1"/>
  <c r="L29" i="3"/>
  <c r="X24" i="3"/>
  <c r="Y24" i="3" s="1"/>
  <c r="X39" i="3"/>
  <c r="Y39" i="3" s="1"/>
  <c r="L15" i="3"/>
  <c r="O29" i="3"/>
  <c r="Z24" i="3"/>
  <c r="X25" i="3"/>
  <c r="Y25" i="3" s="1"/>
  <c r="Z2" i="3"/>
  <c r="N15" i="3"/>
  <c r="Z3" i="3"/>
  <c r="X8" i="3"/>
  <c r="Y8" i="3" s="1"/>
  <c r="Z9" i="3"/>
  <c r="X13" i="3"/>
  <c r="Y13" i="3" s="1"/>
  <c r="Z27" i="3"/>
  <c r="X33" i="3"/>
  <c r="Y33" i="3" s="1"/>
  <c r="Z36" i="3"/>
  <c r="Z21" i="2"/>
  <c r="Z22" i="2"/>
  <c r="Z23" i="2"/>
  <c r="Z25" i="2"/>
  <c r="Z26" i="2"/>
  <c r="Z27" i="2"/>
  <c r="Z28" i="2"/>
  <c r="Z12" i="2"/>
  <c r="Z13" i="2"/>
  <c r="Z16" i="2"/>
  <c r="Z8" i="2"/>
  <c r="Z9" i="2"/>
  <c r="Z17" i="2"/>
  <c r="Z19" i="2"/>
  <c r="Z50" i="2"/>
  <c r="Z14" i="2"/>
  <c r="Z48" i="2"/>
  <c r="Z49" i="2"/>
  <c r="Z36" i="2"/>
  <c r="Z40" i="2"/>
  <c r="Z41" i="2"/>
  <c r="Z57" i="2"/>
  <c r="Z32" i="2"/>
  <c r="Z34" i="2"/>
  <c r="Z35" i="2"/>
  <c r="Z4" i="2"/>
  <c r="Z5" i="2"/>
  <c r="Z52" i="2"/>
  <c r="Z55" i="2"/>
  <c r="Z18" i="2"/>
  <c r="Z44" i="2"/>
  <c r="Z46" i="2"/>
  <c r="Z7" i="2"/>
  <c r="Z33" i="2"/>
  <c r="Z51" i="2"/>
  <c r="Z53" i="2"/>
  <c r="Z6" i="2"/>
  <c r="Z11" i="2"/>
  <c r="Z37" i="2"/>
  <c r="Z38" i="2"/>
  <c r="Z56" i="2"/>
  <c r="Z10" i="2"/>
  <c r="Z45" i="2"/>
  <c r="S5" i="2"/>
  <c r="S9" i="2"/>
  <c r="S13" i="2"/>
  <c r="J15" i="2"/>
  <c r="S16" i="2"/>
  <c r="Z24" i="2"/>
  <c r="S25" i="2"/>
  <c r="S33" i="2"/>
  <c r="S35" i="2"/>
  <c r="S46" i="2"/>
  <c r="S49" i="2"/>
  <c r="S51" i="2"/>
  <c r="L58" i="2"/>
  <c r="X31" i="3"/>
  <c r="Y31" i="3" s="1"/>
  <c r="Z14" i="3"/>
  <c r="L15" i="2"/>
  <c r="J29" i="2"/>
  <c r="S45" i="2"/>
  <c r="J58" i="2"/>
  <c r="N58" i="2"/>
  <c r="Z31" i="3"/>
  <c r="S27" i="2"/>
  <c r="Z31" i="2"/>
  <c r="S32" i="2"/>
  <c r="P42" i="2"/>
  <c r="Z47" i="2"/>
  <c r="S48" i="2"/>
  <c r="S56" i="2"/>
  <c r="Z6" i="3"/>
  <c r="Z12" i="3"/>
  <c r="X23" i="3"/>
  <c r="Y23" i="3" s="1"/>
  <c r="P58" i="2"/>
  <c r="Z30" i="3"/>
  <c r="N42" i="2"/>
  <c r="S7" i="2"/>
  <c r="S11" i="2"/>
  <c r="N15" i="2"/>
  <c r="S18" i="2"/>
  <c r="L29" i="2"/>
  <c r="L42" i="2"/>
  <c r="Z30" i="2"/>
  <c r="S38" i="2"/>
  <c r="S41" i="2"/>
  <c r="S43" i="2"/>
  <c r="Y64" i="2"/>
  <c r="Y63" i="2"/>
  <c r="S23" i="2"/>
  <c r="S26" i="2"/>
  <c r="S28" i="2"/>
  <c r="Z43" i="2"/>
  <c r="S44" i="2"/>
  <c r="Z4" i="3"/>
  <c r="Z23" i="3"/>
  <c r="S12" i="2"/>
  <c r="S19" i="2"/>
  <c r="S34" i="2"/>
  <c r="S37" i="2"/>
  <c r="S39" i="2"/>
  <c r="J42" i="2"/>
  <c r="S50" i="2"/>
  <c r="S53" i="2"/>
  <c r="S55" i="2"/>
  <c r="Z7" i="3"/>
  <c r="S4" i="2"/>
  <c r="S8" i="2"/>
  <c r="P15" i="2"/>
  <c r="P29" i="2"/>
  <c r="N29" i="2"/>
  <c r="S22" i="2"/>
  <c r="S24" i="2"/>
  <c r="Z39" i="2"/>
  <c r="S40" i="2"/>
  <c r="X7" i="3"/>
  <c r="Y7" i="3" s="1"/>
  <c r="Z22" i="3"/>
  <c r="Z28" i="3"/>
  <c r="Z5" i="3"/>
  <c r="Z13" i="3"/>
  <c r="Z21" i="3"/>
  <c r="Z37" i="3"/>
  <c r="Z38" i="3"/>
  <c r="Z39" i="3"/>
  <c r="Z16" i="3"/>
  <c r="Z32" i="3"/>
  <c r="Z40" i="3"/>
  <c r="Z17" i="3"/>
  <c r="Z25" i="3"/>
  <c r="Z33" i="3"/>
  <c r="Z41" i="3"/>
  <c r="Z26" i="3"/>
  <c r="Z34" i="3"/>
  <c r="Z64" i="2" l="1"/>
  <c r="Z63" i="2"/>
  <c r="Z62" i="2"/>
  <c r="S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<sst xmlns="http://schemas.openxmlformats.org/spreadsheetml/2006/main" count="500" uniqueCount="101">
  <si>
    <t>Student ID</t>
  </si>
  <si>
    <t>Student Name (TH)</t>
  </si>
  <si>
    <t>Student Name (EN)</t>
  </si>
  <si>
    <t>Nickname</t>
  </si>
  <si>
    <t>M.1/1</t>
  </si>
  <si>
    <t>สหรัถ เมย์เยอร์</t>
  </si>
  <si>
    <t>เอยขวัญ กรอบอนันต์</t>
  </si>
  <si>
    <t>พนัสพงศ์ ศศิอานนท์</t>
  </si>
  <si>
    <t>ธนภูมิ จิรธนานันท์</t>
  </si>
  <si>
    <t>ชาญวิทย์ แสงรัฐวัฒนะ</t>
  </si>
  <si>
    <t>กฤติเดช จิราทรวัฒนะ</t>
  </si>
  <si>
    <t>ภาสกร แจ้งจิตร</t>
  </si>
  <si>
    <t>เวทิสา พลเสนา</t>
  </si>
  <si>
    <t>ณัฐสิทธิ์ เจริญกุลวัฒนะ</t>
  </si>
  <si>
    <t>วรนน แพงผา</t>
  </si>
  <si>
    <t>ธีภพ ชิตศณุกุล</t>
  </si>
  <si>
    <t>วาตะ กระจ่างพจน์</t>
  </si>
  <si>
    <t>M.2/1</t>
  </si>
  <si>
    <t>สรินทร์ภัคร์ บุษยลักษณ์</t>
  </si>
  <si>
    <t>ณภัทร ทานตะวัน</t>
  </si>
  <si>
    <t>สุชิน ฉัตรพิริยะพันธ์</t>
  </si>
  <si>
    <t>ญาณภัทร โตเลิศมงคล</t>
  </si>
  <si>
    <t>ชนิชา โอภาสเดชากิจ</t>
  </si>
  <si>
    <t>อภิชญา อนันตพงศ์</t>
  </si>
  <si>
    <t>ภากร บุญยะประสิทธิ์</t>
  </si>
  <si>
    <t>พิทยุตม์ วรรณโร</t>
  </si>
  <si>
    <t>ธีรภัทร รัตนนาคินทร์</t>
  </si>
  <si>
    <t>ติณห์ ชุมแวงวาปี</t>
  </si>
  <si>
    <t>อินทัช สุธนะดิลก</t>
  </si>
  <si>
    <t>ชนาธิป แม้นเหมือน</t>
  </si>
  <si>
    <t>M.3/1</t>
  </si>
  <si>
    <t>ภูสิษฐ์ พงศ์สิฎานนท์</t>
  </si>
  <si>
    <t>วิชญ์ สิงหนาท</t>
  </si>
  <si>
    <t>ธนวัฒน์ พืชนะ</t>
  </si>
  <si>
    <t>ปัณณวิชญ์ เกิดสุข</t>
  </si>
  <si>
    <t>ภูวพัชร์ รัตนปรีดาโรจน์</t>
  </si>
  <si>
    <t>ธันวา ทรัพย์มาก</t>
  </si>
  <si>
    <t>นพภัสสร วิรุฬห์บรรเทิง</t>
  </si>
  <si>
    <t>นำบุญ มูลสินธุ์</t>
  </si>
  <si>
    <t>ปัณณธร หิรัญบูรณะ</t>
  </si>
  <si>
    <t>ชยุตม์ จิตวิริยาวัฒน์</t>
  </si>
  <si>
    <t>ฉัตร์ธนวัชร์ ธนสารสมบัติ</t>
  </si>
  <si>
    <t>สิปปภาส เตียวเจริญโสภา</t>
  </si>
  <si>
    <t>M.4/3</t>
  </si>
  <si>
    <t>อันนา พ็อทท์</t>
  </si>
  <si>
    <t>M.4/5</t>
  </si>
  <si>
    <t>ชัญญาพัชญ์ ดวงเนตร</t>
  </si>
  <si>
    <t>M.4/1</t>
  </si>
  <si>
    <t>ณัชพล มาบำรุง</t>
  </si>
  <si>
    <t>M.4/6</t>
  </si>
  <si>
    <t>บุณยานุช ตันติประภา</t>
  </si>
  <si>
    <t>วชิรญาณ์ ใจเพ็ชร์</t>
  </si>
  <si>
    <t>M.4/4</t>
  </si>
  <si>
    <t>นรภัทร พุ่มลำเจียก</t>
  </si>
  <si>
    <t>ศรัณยภัทร ปริยัติ</t>
  </si>
  <si>
    <t>รชิตา ศิริบัญชาวรรณ</t>
  </si>
  <si>
    <t>สิศิทธิ์ ตันตระการกุล</t>
  </si>
  <si>
    <t>หทัยชนก อัศวชนานนท์</t>
  </si>
  <si>
    <t>ตฤณ ไตรสุทธิ์</t>
  </si>
  <si>
    <t>ยองกิ ควน</t>
  </si>
  <si>
    <t>EXAM</t>
  </si>
  <si>
    <t>CLASS</t>
  </si>
  <si>
    <t>StudentHRClass</t>
  </si>
  <si>
    <t xml:space="preserve">Speaking </t>
  </si>
  <si>
    <t>S%</t>
  </si>
  <si>
    <t>Listening</t>
  </si>
  <si>
    <t>L%</t>
  </si>
  <si>
    <t>Reading</t>
  </si>
  <si>
    <t>R%</t>
  </si>
  <si>
    <t>Writing</t>
  </si>
  <si>
    <t>W%</t>
  </si>
  <si>
    <t>Total Final Exam Score</t>
  </si>
  <si>
    <t>Final Exam Score /100 (weighted)</t>
  </si>
  <si>
    <t>Note to Students in Google Classroom</t>
  </si>
  <si>
    <t>Total Term 1 Score (original)</t>
  </si>
  <si>
    <t>Total Term 1 Score (adjusted)</t>
  </si>
  <si>
    <t>GPA</t>
  </si>
  <si>
    <t>Overall Term 2 Score</t>
  </si>
  <si>
    <t>Term 1 or 2</t>
  </si>
  <si>
    <t>GPA 1 and 2</t>
  </si>
  <si>
    <t>KET (KEY)</t>
  </si>
  <si>
    <t>M.1-1b</t>
  </si>
  <si>
    <t>CLASS AVERAGE</t>
  </si>
  <si>
    <t>M.2-1a</t>
  </si>
  <si>
    <t>M.3-1b</t>
  </si>
  <si>
    <t>IGCSE English</t>
  </si>
  <si>
    <t>M.4G</t>
  </si>
  <si>
    <t>Overall Score</t>
  </si>
  <si>
    <t>Overall Term Score</t>
  </si>
  <si>
    <t>Q1 %</t>
  </si>
  <si>
    <t>Q2 %</t>
  </si>
  <si>
    <t>Q1 Assessment score /45</t>
  </si>
  <si>
    <t>Q2 Assessment score /30</t>
  </si>
  <si>
    <t>Final Exam Score /25</t>
  </si>
  <si>
    <t>Overall Grade Check</t>
  </si>
  <si>
    <t>Match?</t>
  </si>
  <si>
    <t>M1-1B</t>
  </si>
  <si>
    <t>M2-1A</t>
  </si>
  <si>
    <t>M3-1B</t>
  </si>
  <si>
    <t>ชื่อ–นามสกุล</t>
  </si>
  <si>
    <t xml:space="preserve">Frist Name Last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</si>
</sst>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0"/>
    <numFmt numFmtId="165" formatCode="0.0"/>
  </numFmts>
  <fonts count="23">
    <font>
      <sz val="10"/>
      <color rgb="FF000000"/>
      <name val="Arial"/>
      <scheme val="minor"/>
    </font>
    <font>
      <b/>
      <sz val="10"/>
      <color rgb="FF000000"/>
      <name val="Merriweather"/>
    </font>
    <font>
      <b/>
      <sz val="10"/>
      <color rgb="FFF2F2F2"/>
      <name val="Merriweather"/>
    </font>
    <font>
      <b/>
      <sz val="10"/>
      <color rgb="FFF3F3F3"/>
      <name val="Merriweather"/>
    </font>
    <font>
      <b/>
      <sz val="10"/>
      <color rgb="FFF3F3F3"/>
      <name val="Merriweather"/>
    </font>
    <font>
      <sz val="10"/>
      <color theme="1"/>
      <name val="Roboto"/>
    </font>
    <font>
      <sz val="10"/>
      <color rgb="FF000000"/>
      <name val="Roboto"/>
    </font>
    <font>
      <sz val="10"/>
      <color theme="1"/>
      <name val="Roboto"/>
    </font>
    <font>
      <b/>
      <i/>
      <sz val="10"/>
      <color rgb="FF000000"/>
      <name val="Roboto"/>
    </font>
    <font>
      <b/>
      <sz val="10"/>
      <color theme="1"/>
      <name val="Roboto"/>
    </font>
    <font>
      <sz val="10"/>
      <color rgb="FF999999"/>
      <name val="Roboto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Merriweather"/>
    </font>
    <font>
      <b/>
      <sz val="10"/>
      <color rgb="FFF2F2F2"/>
      <name val="Merriweather"/>
    </font>
    <font>
      <sz val="10"/>
      <color theme="1"/>
      <name val="Arial"/>
      <family val="2"/>
    </font>
    <font>
      <b/>
      <sz val="9"/>
      <color rgb="FF000000"/>
      <name val="&quot;Google Sans Mono&quot;"/>
    </font>
    <font>
      <sz val="9"/>
      <color rgb="FF000000"/>
      <name val="&quot;Google Sans Mono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-webkit-standard"/>
      <charset val="204"/>
    </font>
    <font>
      <sz val="12"/>
      <color rgb="FF000000"/>
      <name val="-webkit-standard"/>
    </font>
    <font>
      <b/>
      <sz val="10"/>
      <color theme="1"/>
      <name val="Roboto"/>
      <charset val="204"/>
    </font>
  </fonts>
  <fills count="20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4F6128"/>
        <bgColor rgb="FF4F6128"/>
      </patternFill>
    </fill>
    <fill>
      <patternFill patternType="solid">
        <fgColor rgb="FF215967"/>
        <bgColor rgb="FF215967"/>
      </patternFill>
    </fill>
    <fill>
      <patternFill patternType="solid">
        <fgColor rgb="FF31869B"/>
        <bgColor rgb="FF31869B"/>
      </patternFill>
    </fill>
    <fill>
      <patternFill patternType="solid">
        <fgColor rgb="FF7F6000"/>
        <bgColor rgb="FF7F6000"/>
      </patternFill>
    </fill>
    <fill>
      <patternFill patternType="solid">
        <fgColor rgb="FF434343"/>
        <bgColor rgb="FF434343"/>
      </patternFill>
    </fill>
    <fill>
      <patternFill patternType="solid">
        <fgColor rgb="FF3C78D8"/>
        <bgColor rgb="FF3C78D8"/>
      </patternFill>
    </fill>
    <fill>
      <patternFill patternType="solid">
        <fgColor rgb="FFB45F06"/>
        <bgColor rgb="FFB45F06"/>
      </patternFill>
    </fill>
    <fill>
      <patternFill patternType="solid">
        <fgColor rgb="FF783F04"/>
        <bgColor rgb="FF783F04"/>
      </patternFill>
    </fill>
    <fill>
      <patternFill patternType="solid">
        <fgColor rgb="FF0B5394"/>
        <bgColor rgb="FF0B5394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82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2" fillId="6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2" fontId="5" fillId="13" borderId="0" xfId="0" applyNumberFormat="1" applyFont="1" applyFill="1" applyAlignment="1">
      <alignment horizontal="center"/>
    </xf>
    <xf numFmtId="0" fontId="5" fillId="14" borderId="0" xfId="0" applyFont="1" applyFill="1"/>
    <xf numFmtId="2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14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2" fontId="5" fillId="16" borderId="0" xfId="0" applyNumberFormat="1" applyFont="1" applyFill="1" applyAlignment="1">
      <alignment horizontal="center"/>
    </xf>
    <xf numFmtId="0" fontId="9" fillId="13" borderId="0" xfId="0" applyFont="1" applyFill="1"/>
    <xf numFmtId="164" fontId="9" fillId="13" borderId="0" xfId="0" applyNumberFormat="1" applyFont="1" applyFill="1"/>
    <xf numFmtId="0" fontId="9" fillId="13" borderId="0" xfId="0" applyFont="1" applyFill="1" applyAlignment="1">
      <alignment horizontal="center"/>
    </xf>
    <xf numFmtId="165" fontId="9" fillId="13" borderId="0" xfId="0" applyNumberFormat="1" applyFont="1" applyFill="1" applyAlignment="1">
      <alignment horizontal="center"/>
    </xf>
    <xf numFmtId="10" fontId="9" fillId="13" borderId="0" xfId="0" applyNumberFormat="1" applyFont="1" applyFill="1" applyAlignment="1">
      <alignment horizontal="center"/>
    </xf>
    <xf numFmtId="2" fontId="9" fillId="14" borderId="0" xfId="0" applyNumberFormat="1" applyFont="1" applyFill="1"/>
    <xf numFmtId="2" fontId="9" fillId="0" borderId="0" xfId="0" applyNumberFormat="1" applyFont="1" applyAlignment="1">
      <alignment horizontal="center"/>
    </xf>
    <xf numFmtId="2" fontId="9" fillId="13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10" fillId="13" borderId="0" xfId="0" applyNumberFormat="1" applyFont="1" applyFill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17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0" borderId="0" xfId="0" applyFont="1"/>
    <xf numFmtId="0" fontId="7" fillId="0" borderId="0" xfId="0" applyFont="1"/>
    <xf numFmtId="10" fontId="7" fillId="0" borderId="0" xfId="0" applyNumberFormat="1" applyFont="1" applyAlignment="1">
      <alignment horizontal="center"/>
    </xf>
    <xf numFmtId="0" fontId="7" fillId="17" borderId="0" xfId="0" applyFont="1" applyFill="1"/>
    <xf numFmtId="0" fontId="7" fillId="13" borderId="0" xfId="0" applyFont="1" applyFill="1"/>
    <xf numFmtId="164" fontId="7" fillId="13" borderId="0" xfId="0" applyNumberFormat="1" applyFont="1" applyFill="1"/>
    <xf numFmtId="0" fontId="16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7" fillId="18" borderId="0" xfId="0" applyFont="1" applyFill="1" applyAlignment="1">
      <alignment horizontal="center"/>
    </xf>
    <xf numFmtId="2" fontId="7" fillId="13" borderId="0" xfId="0" applyNumberFormat="1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0" fontId="17" fillId="19" borderId="0" xfId="0" applyFont="1" applyFill="1"/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 wrapText="1"/>
    </xf>
    <xf numFmtId="0" fontId="20" fillId="0" borderId="0" xfId="0" applyFont="1"/>
    <xf numFmtId="0" fontId="21" fillId="0" borderId="0" xfId="0" applyFont="1"/>
    <xf numFmtId="10" fontId="16" fillId="13" borderId="0" xfId="1" applyNumberFormat="1" applyFont="1" applyFill="1" applyAlignment="1">
      <alignment horizontal="center"/>
    </xf>
    <xf numFmtId="2" fontId="16" fillId="13" borderId="0" xfId="1" applyNumberFormat="1" applyFont="1" applyFill="1" applyAlignment="1">
      <alignment horizontal="center"/>
    </xf>
    <xf numFmtId="2" fontId="22" fillId="13" borderId="0" xfId="0" applyNumberFormat="1" applyFont="1" applyFill="1" applyAlignment="1">
      <alignment horizontal="center"/>
    </xf>
    <xf numFmtId="2" fontId="16" fillId="13" borderId="0" xfId="0" applyNumberFormat="1" applyFont="1" applyFill="1" applyAlignment="1">
      <alignment horizontal="center"/>
    </xf>
    <xf numFmtId="0" fontId="22" fillId="13" borderId="0" xfId="0" applyFont="1" applyFill="1" applyAlignment="1">
      <alignment horizontal="right"/>
    </xf>
  </cellXfs>
  <cellStyles count="2">
    <cellStyle name="Обычный" xfId="0" builtinId="0"/>
    <cellStyle name="Процентный" xfId="1" builtinId="5"/>
  </cellStyles>
  <dxfs count="14">
    <dxf>
      <font>
        <color theme="5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none"/>
      </fill>
    </dxf>
    <dxf>
      <font>
        <color rgb="FFCC0000"/>
      </font>
      <fill>
        <patternFill patternType="solid">
          <fgColor rgb="FFFFFFFF"/>
          <bgColor rgb="FFFFFFFF"/>
        </patternFill>
      </fill>
    </dxf>
    <dxf>
      <font>
        <color rgb="FF38761D"/>
      </font>
      <fill>
        <patternFill patternType="solid">
          <fgColor rgb="FFFFFFFF"/>
          <bgColor rgb="FFFFFFFF"/>
        </patternFill>
      </fill>
    </dxf>
    <dxf>
      <font>
        <color rgb="FF1155CC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Term 1 and 2 total-style" pivot="0" count="2" xr9:uid="{00000000-0011-0000-FFFF-FFFF00000000}">
      <tableStyleElement type="firstRowStripe" dxfId="13"/>
      <tableStyleElement type="secondRowStripe" dxfId="12"/>
    </tableStyle>
    <tableStyle name="M5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IGCSE-style" pivot="0" count="2" xr9:uid="{00000000-0011-0000-FFFF-FFFF02000000}">
      <tableStyleElement type="firstRowStripe" dxfId="8"/>
      <tableStyleElement type="secondRowStripe" dxfId="7"/>
    </tableStyle>
    <tableStyle name="IGCSE-style 2" pivot="0" count="2" xr9:uid="{00000000-0011-0000-FFFF-FFFF03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W43:X58" headerRowCount="0">
  <tableColumns count="2">
    <tableColumn id="1" xr3:uid="{00000000-0010-0000-0000-000001000000}" name="Column1"/>
    <tableColumn id="2" xr3:uid="{00000000-0010-0000-0000-000002000000}" name="Column2"/>
  </tableColumns>
  <tableStyleInfo name="Term 1 and 2 tot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22"/>
  <sheetViews>
    <sheetView workbookViewId="0">
      <pane ySplit="1" topLeftCell="A2" activePane="bottomLeft" state="frozen"/>
      <selection pane="bottomLeft" activeCell="F4" sqref="F4"/>
    </sheetView>
  </sheetViews>
  <sheetFormatPr defaultColWidth="12.6640625" defaultRowHeight="15.75" customHeight="1"/>
  <cols>
    <col min="1" max="1" width="11" customWidth="1"/>
    <col min="2" max="2" width="6.33203125" customWidth="1"/>
    <col min="3" max="3" width="7.77734375" hidden="1" customWidth="1"/>
    <col min="4" max="4" width="9.77734375" hidden="1" customWidth="1"/>
    <col min="5" max="5" width="18.109375" hidden="1" customWidth="1"/>
    <col min="6" max="7" width="17.109375" customWidth="1"/>
    <col min="9" max="9" width="8.6640625" hidden="1" customWidth="1"/>
    <col min="10" max="10" width="6.33203125" hidden="1" customWidth="1"/>
    <col min="11" max="11" width="9" hidden="1" customWidth="1"/>
    <col min="12" max="12" width="6.33203125" hidden="1" customWidth="1"/>
    <col min="13" max="13" width="7.77734375" hidden="1" customWidth="1"/>
    <col min="14" max="14" width="6.33203125" hidden="1" customWidth="1"/>
    <col min="15" max="15" width="7.44140625" hidden="1" customWidth="1"/>
    <col min="16" max="16" width="6.33203125" hidden="1" customWidth="1"/>
    <col min="17" max="17" width="15.109375" hidden="1" customWidth="1"/>
    <col min="18" max="18" width="13.44140625" customWidth="1"/>
    <col min="19" max="19" width="39.109375" hidden="1" customWidth="1"/>
    <col min="20" max="20" width="13.77734375" customWidth="1"/>
    <col min="21" max="21" width="12.33203125" customWidth="1"/>
    <col min="22" max="22" width="6.6640625" bestFit="1" customWidth="1"/>
    <col min="23" max="23" width="11.109375" customWidth="1"/>
    <col min="24" max="24" width="6.6640625" bestFit="1" customWidth="1"/>
    <col min="25" max="25" width="13" customWidth="1"/>
    <col min="26" max="26" width="18.6640625" customWidth="1"/>
    <col min="27" max="27" width="12.33203125" customWidth="1"/>
    <col min="28" max="28" width="13.6640625" customWidth="1"/>
  </cols>
  <sheetData>
    <row r="1" spans="1:28" ht="43.5" customHeight="1">
      <c r="A1" s="1" t="s">
        <v>60</v>
      </c>
      <c r="B1" s="1" t="s">
        <v>61</v>
      </c>
      <c r="C1" s="2" t="s">
        <v>62</v>
      </c>
      <c r="D1" s="3" t="s">
        <v>0</v>
      </c>
      <c r="E1" s="3" t="s">
        <v>1</v>
      </c>
      <c r="F1" s="3" t="s">
        <v>2</v>
      </c>
      <c r="G1" s="3"/>
      <c r="H1" s="3" t="s">
        <v>3</v>
      </c>
      <c r="I1" s="4" t="s">
        <v>63</v>
      </c>
      <c r="J1" s="5" t="s">
        <v>64</v>
      </c>
      <c r="K1" s="4" t="s">
        <v>65</v>
      </c>
      <c r="L1" s="5" t="s">
        <v>66</v>
      </c>
      <c r="M1" s="4" t="s">
        <v>67</v>
      </c>
      <c r="N1" s="6" t="s">
        <v>68</v>
      </c>
      <c r="O1" s="4" t="s">
        <v>69</v>
      </c>
      <c r="P1" s="6" t="s">
        <v>70</v>
      </c>
      <c r="Q1" s="7" t="s">
        <v>71</v>
      </c>
      <c r="R1" s="8" t="s">
        <v>72</v>
      </c>
      <c r="S1" s="9" t="s">
        <v>73</v>
      </c>
      <c r="T1" s="10" t="s">
        <v>74</v>
      </c>
      <c r="U1" s="11" t="s">
        <v>75</v>
      </c>
      <c r="V1" s="12" t="s">
        <v>76</v>
      </c>
      <c r="W1" s="13" t="s">
        <v>77</v>
      </c>
      <c r="X1" s="14" t="s">
        <v>76</v>
      </c>
      <c r="Y1" s="15" t="s">
        <v>78</v>
      </c>
      <c r="Z1" s="15" t="s">
        <v>79</v>
      </c>
      <c r="AA1" s="16"/>
      <c r="AB1" s="16"/>
    </row>
    <row r="2" spans="1:28" ht="13.8">
      <c r="A2" s="17" t="s">
        <v>80</v>
      </c>
      <c r="B2" s="18" t="s">
        <v>81</v>
      </c>
      <c r="C2" s="19" t="s">
        <v>4</v>
      </c>
      <c r="D2" s="20">
        <v>1122</v>
      </c>
      <c r="E2" s="19" t="s">
        <v>6</v>
      </c>
      <c r="F2" s="18"/>
      <c r="G2" s="18"/>
      <c r="H2" s="19" t="s">
        <v>3</v>
      </c>
      <c r="I2" s="21">
        <v>2</v>
      </c>
      <c r="J2" s="22">
        <f>(I2/5)*100</f>
        <v>40</v>
      </c>
      <c r="K2" s="22">
        <v>13</v>
      </c>
      <c r="L2" s="22">
        <f>(K2/20)*100</f>
        <v>65</v>
      </c>
      <c r="M2" s="22">
        <v>8</v>
      </c>
      <c r="N2" s="23">
        <f>(M2/20)*100</f>
        <v>40</v>
      </c>
      <c r="O2" s="22">
        <v>6</v>
      </c>
      <c r="P2" s="23">
        <f>(O2/10)*100</f>
        <v>60</v>
      </c>
      <c r="Q2" s="24">
        <f>(SUM(I2,K2,M2,O2)/60)</f>
        <v>0.48333333333333334</v>
      </c>
      <c r="R2" s="25">
        <v>51.25</v>
      </c>
      <c r="S2" s="26" t="str">
        <f>CONCATENATE("Your end-of-term exam marks are: Speaking ", J2, "%, Listening ", L2, "%, Reading ", N2, "%, and Writing ", P2, "%")</f>
        <v>Your end-of-term exam marks are: Speaking 40%, Listening 65%, Reading 40%, and Writing 60%</v>
      </c>
      <c r="T2" s="27">
        <v>55.31</v>
      </c>
      <c r="U2" s="27">
        <v>55.31</v>
      </c>
      <c r="V2" s="29" cm="1">
        <f t="array" ref="V2">_xlfn.IFS(U2&gt;=80, 4, U2&gt;=75, 3.5, U2&gt;=70, 3, U2&gt;=65, 2.5, U2&gt;=60, 2, U2&gt;=55, 1.5, U2&gt;=50, 1, U2&lt;50, 0)</f>
        <v>1.5</v>
      </c>
      <c r="W2" s="28">
        <v>67.95</v>
      </c>
      <c r="X2" s="29" cm="1">
        <f t="array" ref="X2">_xlfn.IFS(W2&gt;=80, 4, W2&gt;=75, 3.5, W2&gt;=70, 3, W2&gt;=65, 2.5, W2&gt;=60, 2, W2&gt;=55, 1.5, W2&gt;=50, 1, W2&lt;50, 0)</f>
        <v>2.5</v>
      </c>
      <c r="Y2" s="28" t="str">
        <f t="shared" ref="Y2:Y14" si="0">IF(OR(U2="", W2=""), "New Student", IF(W2-U2 &gt;= 2, "Improved", IF(U2-W2 &gt;= 2, "Declined", "Same")))</f>
        <v>Improved</v>
      </c>
      <c r="Z2" s="28" t="str">
        <f>IF(OR(V2="", X2=""), "New Student", IF(X2-V2 &gt;= 0.5, "Improved", IF(V2-X2 &gt;= 0.5, "Declined", "Same")))</f>
        <v>Improved</v>
      </c>
      <c r="AA2" s="28"/>
      <c r="AB2" s="28"/>
    </row>
    <row r="3" spans="1:28" ht="13.8">
      <c r="A3" s="17"/>
      <c r="B3" s="18"/>
      <c r="C3" s="19"/>
      <c r="D3" s="20"/>
      <c r="E3" s="19"/>
      <c r="F3" s="18"/>
      <c r="G3" s="18"/>
      <c r="H3" s="19" t="s">
        <v>3</v>
      </c>
      <c r="I3" s="30"/>
      <c r="J3" s="22"/>
      <c r="K3" s="22"/>
      <c r="L3" s="22"/>
      <c r="M3" s="22"/>
      <c r="N3" s="23"/>
      <c r="O3" s="22"/>
      <c r="P3" s="23"/>
      <c r="Q3" s="24"/>
      <c r="R3" s="25"/>
      <c r="S3" s="26"/>
      <c r="T3" s="31"/>
      <c r="U3" s="31"/>
      <c r="V3" s="29" cm="1">
        <f t="array" ref="V3">_xlfn.IFS(U3&gt;=80, 4, U3&gt;=75, 3.5, U3&gt;=70, 3, U3&gt;=65, 2.5, U3&gt;=60, 2, U3&gt;=55, 1.5, U3&gt;=50, 1, U3&lt;50, 0)</f>
        <v>0</v>
      </c>
      <c r="W3" s="28">
        <v>79.290000000000006</v>
      </c>
      <c r="X3" s="29" cm="1">
        <f t="array" ref="X3">_xlfn.IFS(W3&gt;=80, 4, W3&gt;=75, 3.5, W3&gt;=70, 3, W3&gt;=65, 2.5, W3&gt;=60, 2, W3&gt;=55, 1.5, W3&gt;=50, 1, W3&lt;50, 0)</f>
        <v>3.5</v>
      </c>
      <c r="Y3" s="28" t="str">
        <f t="shared" si="0"/>
        <v>New Student</v>
      </c>
      <c r="Z3" s="28" t="str">
        <f t="shared" ref="Z3:Z14" si="1">IF(OR(V3="", X3=""), "New Student", IF(X3-V3 &gt;= 0.5, "Improved", IF(V3-X3 &gt;= 0.5, "Declined", "Same")))</f>
        <v>Improved</v>
      </c>
      <c r="AA3" s="28"/>
      <c r="AB3" s="28"/>
    </row>
    <row r="4" spans="1:28" ht="13.8">
      <c r="A4" s="17" t="s">
        <v>80</v>
      </c>
      <c r="B4" s="18" t="s">
        <v>81</v>
      </c>
      <c r="C4" s="19" t="s">
        <v>4</v>
      </c>
      <c r="D4" s="20">
        <v>1099</v>
      </c>
      <c r="E4" s="19" t="s">
        <v>9</v>
      </c>
      <c r="F4" s="18"/>
      <c r="G4" s="18"/>
      <c r="H4" s="19" t="s">
        <v>3</v>
      </c>
      <c r="I4" s="30">
        <v>4</v>
      </c>
      <c r="J4" s="22">
        <f t="shared" ref="J4:J14" si="2">(I4/5)*100</f>
        <v>80</v>
      </c>
      <c r="K4" s="22">
        <v>12</v>
      </c>
      <c r="L4" s="22">
        <f t="shared" ref="L4:L14" si="3">(K4/20)*100</f>
        <v>60</v>
      </c>
      <c r="M4" s="22">
        <v>11</v>
      </c>
      <c r="N4" s="23">
        <f t="shared" ref="N4:N14" si="4">(M4/20)*100</f>
        <v>55.000000000000007</v>
      </c>
      <c r="O4" s="22">
        <v>6</v>
      </c>
      <c r="P4" s="23">
        <f t="shared" ref="P4:P14" si="5">(O4/10)*100</f>
        <v>60</v>
      </c>
      <c r="Q4" s="24">
        <f t="shared" ref="Q4:Q14" si="6">(SUM(I4,K4,M4,O4)/60)</f>
        <v>0.55000000000000004</v>
      </c>
      <c r="R4" s="25">
        <v>63.75</v>
      </c>
      <c r="S4" s="26" t="str">
        <f t="shared" ref="S4:S14" si="7">CONCATENATE("Your end-of-term exam marks are: Speaking ", J4, "%, Listening ", L4, "%, Reading ", N4, "%, and Writing ", P4, "%")</f>
        <v>Your end-of-term exam marks are: Speaking 80%, Listening 60%, Reading 55%, and Writing 60%</v>
      </c>
      <c r="T4" s="31">
        <v>48.44</v>
      </c>
      <c r="U4" s="31">
        <v>51</v>
      </c>
      <c r="V4" s="29" cm="1">
        <f t="array" ref="V4">_xlfn.IFS(U4&gt;=80, 4, U4&gt;=75, 3.5, U4&gt;=70, 3, U4&gt;=65, 2.5, U4&gt;=60, 2, U4&gt;=55, 1.5, U4&gt;=50, 1, U4&lt;50, 0)</f>
        <v>1</v>
      </c>
      <c r="W4" s="28">
        <v>52.02</v>
      </c>
      <c r="X4" s="29" cm="1">
        <f t="array" ref="X4">_xlfn.IFS(W4&gt;=80, 4, W4&gt;=75, 3.5, W4&gt;=70, 3, W4&gt;=65, 2.5, W4&gt;=60, 2, W4&gt;=55, 1.5, W4&gt;=50, 1, W4&lt;50, 0)</f>
        <v>1</v>
      </c>
      <c r="Y4" s="28" t="str">
        <f t="shared" si="0"/>
        <v>Same</v>
      </c>
      <c r="Z4" s="28" t="str">
        <f t="shared" si="1"/>
        <v>Same</v>
      </c>
      <c r="AA4" s="28"/>
      <c r="AB4" s="28"/>
    </row>
    <row r="5" spans="1:28" ht="13.8">
      <c r="A5" s="17" t="s">
        <v>80</v>
      </c>
      <c r="B5" s="18" t="s">
        <v>81</v>
      </c>
      <c r="C5" s="19" t="s">
        <v>4</v>
      </c>
      <c r="D5" s="20">
        <v>1098</v>
      </c>
      <c r="E5" s="19" t="s">
        <v>10</v>
      </c>
      <c r="F5" s="18"/>
      <c r="G5" s="18"/>
      <c r="H5" s="19" t="s">
        <v>3</v>
      </c>
      <c r="I5" s="21">
        <v>3</v>
      </c>
      <c r="J5" s="22">
        <f t="shared" si="2"/>
        <v>60</v>
      </c>
      <c r="K5" s="22">
        <v>14</v>
      </c>
      <c r="L5" s="22">
        <f t="shared" si="3"/>
        <v>70</v>
      </c>
      <c r="M5" s="22">
        <v>14</v>
      </c>
      <c r="N5" s="23">
        <f t="shared" si="4"/>
        <v>70</v>
      </c>
      <c r="O5" s="22">
        <v>0</v>
      </c>
      <c r="P5" s="23">
        <f t="shared" si="5"/>
        <v>0</v>
      </c>
      <c r="Q5" s="24">
        <f t="shared" si="6"/>
        <v>0.51666666666666672</v>
      </c>
      <c r="R5" s="25">
        <v>50</v>
      </c>
      <c r="S5" s="26" t="str">
        <f t="shared" si="7"/>
        <v>Your end-of-term exam marks are: Speaking 60%, Listening 70%, Reading 70%, and Writing 0%</v>
      </c>
      <c r="T5" s="31">
        <v>46.67</v>
      </c>
      <c r="U5" s="31">
        <v>50</v>
      </c>
      <c r="V5" s="29" cm="1">
        <f t="array" ref="V5">_xlfn.IFS(U5&gt;=80, 4, U5&gt;=75, 3.5, U5&gt;=70, 3, U5&gt;=65, 2.5, U5&gt;=60, 2, U5&gt;=55, 1.5, U5&gt;=50, 1, U5&lt;50, 0)</f>
        <v>1</v>
      </c>
      <c r="W5" s="28">
        <v>54.33</v>
      </c>
      <c r="X5" s="29" cm="1">
        <f t="array" ref="X5">_xlfn.IFS(W5&gt;=80, 4, W5&gt;=75, 3.5, W5&gt;=70, 3, W5&gt;=65, 2.5, W5&gt;=60, 2, W5&gt;=55, 1.5, W5&gt;=50, 1, W5&lt;50, 0)</f>
        <v>1</v>
      </c>
      <c r="Y5" s="28" t="str">
        <f t="shared" si="0"/>
        <v>Improved</v>
      </c>
      <c r="Z5" s="28" t="str">
        <f t="shared" si="1"/>
        <v>Same</v>
      </c>
      <c r="AA5" s="28"/>
      <c r="AB5" s="28"/>
    </row>
    <row r="6" spans="1:28" ht="13.8">
      <c r="A6" s="17" t="s">
        <v>80</v>
      </c>
      <c r="B6" s="18" t="s">
        <v>81</v>
      </c>
      <c r="C6" s="19" t="s">
        <v>4</v>
      </c>
      <c r="D6" s="20">
        <v>966</v>
      </c>
      <c r="E6" s="19" t="s">
        <v>13</v>
      </c>
      <c r="F6" s="18"/>
      <c r="G6" s="18"/>
      <c r="H6" s="19" t="s">
        <v>3</v>
      </c>
      <c r="I6" s="21">
        <v>4</v>
      </c>
      <c r="J6" s="22">
        <f t="shared" si="2"/>
        <v>80</v>
      </c>
      <c r="K6" s="22">
        <v>12</v>
      </c>
      <c r="L6" s="22">
        <f t="shared" si="3"/>
        <v>60</v>
      </c>
      <c r="M6" s="22">
        <v>13</v>
      </c>
      <c r="N6" s="23">
        <f t="shared" si="4"/>
        <v>65</v>
      </c>
      <c r="O6" s="22">
        <v>9</v>
      </c>
      <c r="P6" s="23">
        <f t="shared" si="5"/>
        <v>90</v>
      </c>
      <c r="Q6" s="24">
        <f t="shared" si="6"/>
        <v>0.6333333333333333</v>
      </c>
      <c r="R6" s="25">
        <v>73.75</v>
      </c>
      <c r="S6" s="26" t="str">
        <f t="shared" si="7"/>
        <v>Your end-of-term exam marks are: Speaking 80%, Listening 60%, Reading 65%, and Writing 90%</v>
      </c>
      <c r="T6" s="27">
        <v>81.849999999999994</v>
      </c>
      <c r="U6" s="27">
        <v>81.849999999999994</v>
      </c>
      <c r="V6" s="29" cm="1">
        <f t="array" ref="V6">_xlfn.IFS(U6&gt;=80, 4, U6&gt;=75, 3.5, U6&gt;=70, 3, U6&gt;=65, 2.5, U6&gt;=60, 2, U6&gt;=55, 1.5, U6&gt;=50, 1, U6&lt;50, 0)</f>
        <v>4</v>
      </c>
      <c r="W6" s="28">
        <v>74.81</v>
      </c>
      <c r="X6" s="29" cm="1">
        <f t="array" ref="X6">_xlfn.IFS(W6&gt;=80, 4, W6&gt;=75, 3.5, W6&gt;=70, 3, W6&gt;=65, 2.5, W6&gt;=60, 2, W6&gt;=55, 1.5, W6&gt;=50, 1, W6&lt;50, 0)</f>
        <v>3</v>
      </c>
      <c r="Y6" s="28" t="str">
        <f t="shared" si="0"/>
        <v>Declined</v>
      </c>
      <c r="Z6" s="28" t="str">
        <f t="shared" si="1"/>
        <v>Declined</v>
      </c>
      <c r="AA6" s="28"/>
      <c r="AB6" s="28"/>
    </row>
    <row r="7" spans="1:28" ht="13.8">
      <c r="A7" s="17" t="s">
        <v>80</v>
      </c>
      <c r="B7" s="18" t="s">
        <v>81</v>
      </c>
      <c r="C7" s="19" t="s">
        <v>4</v>
      </c>
      <c r="D7" s="20">
        <v>1019</v>
      </c>
      <c r="E7" s="19" t="s">
        <v>7</v>
      </c>
      <c r="F7" s="18"/>
      <c r="G7" s="18"/>
      <c r="H7" s="19" t="s">
        <v>3</v>
      </c>
      <c r="I7" s="21">
        <v>5</v>
      </c>
      <c r="J7" s="22">
        <f t="shared" si="2"/>
        <v>100</v>
      </c>
      <c r="K7" s="22">
        <v>12.5</v>
      </c>
      <c r="L7" s="22">
        <f t="shared" si="3"/>
        <v>62.5</v>
      </c>
      <c r="M7" s="22">
        <v>11</v>
      </c>
      <c r="N7" s="23">
        <f t="shared" si="4"/>
        <v>55.000000000000007</v>
      </c>
      <c r="O7" s="22">
        <v>9</v>
      </c>
      <c r="P7" s="23">
        <f t="shared" si="5"/>
        <v>90</v>
      </c>
      <c r="Q7" s="24">
        <f t="shared" si="6"/>
        <v>0.625</v>
      </c>
      <c r="R7" s="25">
        <v>76.875</v>
      </c>
      <c r="S7" s="26" t="str">
        <f t="shared" si="7"/>
        <v>Your end-of-term exam marks are: Speaking 100%, Listening 62.5%, Reading 55%, and Writing 90%</v>
      </c>
      <c r="T7" s="27">
        <v>80.22</v>
      </c>
      <c r="U7" s="27">
        <v>80.22</v>
      </c>
      <c r="V7" s="29" cm="1">
        <f t="array" ref="V7">_xlfn.IFS(U7&gt;=80, 4, U7&gt;=75, 3.5, U7&gt;=70, 3, U7&gt;=65, 2.5, U7&gt;=60, 2, U7&gt;=55, 1.5, U7&gt;=50, 1, U7&lt;50, 0)</f>
        <v>4</v>
      </c>
      <c r="W7" s="28">
        <v>65.319999999999993</v>
      </c>
      <c r="X7" s="29" cm="1">
        <f t="array" ref="X7">_xlfn.IFS(W7&gt;=80, 4, W7&gt;=75, 3.5, W7&gt;=70, 3, W7&gt;=65, 2.5, W7&gt;=60, 2, W7&gt;=55, 1.5, W7&gt;=50, 1, W7&lt;50, 0)</f>
        <v>2.5</v>
      </c>
      <c r="Y7" s="28" t="str">
        <f t="shared" si="0"/>
        <v>Declined</v>
      </c>
      <c r="Z7" s="28" t="str">
        <f t="shared" si="1"/>
        <v>Declined</v>
      </c>
      <c r="AA7" s="28"/>
      <c r="AB7" s="28"/>
    </row>
    <row r="8" spans="1:28" ht="13.8">
      <c r="A8" s="17" t="s">
        <v>80</v>
      </c>
      <c r="B8" s="18" t="s">
        <v>81</v>
      </c>
      <c r="C8" s="19" t="s">
        <v>4</v>
      </c>
      <c r="D8" s="20">
        <v>1138</v>
      </c>
      <c r="E8" s="19" t="s">
        <v>11</v>
      </c>
      <c r="F8" s="18"/>
      <c r="G8" s="18"/>
      <c r="H8" s="19" t="s">
        <v>3</v>
      </c>
      <c r="I8" s="21">
        <v>2</v>
      </c>
      <c r="J8" s="22">
        <f t="shared" si="2"/>
        <v>40</v>
      </c>
      <c r="K8" s="22">
        <v>9</v>
      </c>
      <c r="L8" s="22">
        <f t="shared" si="3"/>
        <v>45</v>
      </c>
      <c r="M8" s="22">
        <v>14</v>
      </c>
      <c r="N8" s="23">
        <f t="shared" si="4"/>
        <v>70</v>
      </c>
      <c r="O8" s="22">
        <v>0</v>
      </c>
      <c r="P8" s="23">
        <f t="shared" si="5"/>
        <v>0</v>
      </c>
      <c r="Q8" s="24">
        <f t="shared" si="6"/>
        <v>0.41666666666666669</v>
      </c>
      <c r="R8" s="25">
        <v>38.75</v>
      </c>
      <c r="S8" s="26" t="str">
        <f t="shared" si="7"/>
        <v>Your end-of-term exam marks are: Speaking 40%, Listening 45%, Reading 70%, and Writing 0%</v>
      </c>
      <c r="T8" s="31">
        <v>44.69</v>
      </c>
      <c r="U8" s="31">
        <v>50</v>
      </c>
      <c r="V8" s="29" cm="1">
        <f t="array" ref="V8">_xlfn.IFS(U8&gt;=80, 4, U8&gt;=75, 3.5, U8&gt;=70, 3, U8&gt;=65, 2.5, U8&gt;=60, 2, U8&gt;=55, 1.5, U8&gt;=50, 1, U8&lt;50, 0)</f>
        <v>1</v>
      </c>
      <c r="W8" s="28">
        <v>52.44</v>
      </c>
      <c r="X8" s="29" cm="1">
        <f t="array" ref="X8">_xlfn.IFS(W8&gt;=80, 4, W8&gt;=75, 3.5, W8&gt;=70, 3, W8&gt;=65, 2.5, W8&gt;=60, 2, W8&gt;=55, 1.5, W8&gt;=50, 1, W8&lt;50, 0)</f>
        <v>1</v>
      </c>
      <c r="Y8" s="28" t="str">
        <f t="shared" si="0"/>
        <v>Improved</v>
      </c>
      <c r="Z8" s="28" t="str">
        <f t="shared" si="1"/>
        <v>Same</v>
      </c>
      <c r="AA8" s="28"/>
      <c r="AB8" s="28"/>
    </row>
    <row r="9" spans="1:28" ht="13.8">
      <c r="A9" s="17" t="s">
        <v>80</v>
      </c>
      <c r="B9" s="18" t="s">
        <v>81</v>
      </c>
      <c r="C9" s="19" t="s">
        <v>4</v>
      </c>
      <c r="D9" s="20">
        <v>973</v>
      </c>
      <c r="E9" s="19" t="s">
        <v>5</v>
      </c>
      <c r="F9" s="18"/>
      <c r="G9" s="18"/>
      <c r="H9" s="19" t="s">
        <v>3</v>
      </c>
      <c r="I9" s="21">
        <v>4</v>
      </c>
      <c r="J9" s="22">
        <f t="shared" si="2"/>
        <v>80</v>
      </c>
      <c r="K9" s="22">
        <v>10</v>
      </c>
      <c r="L9" s="22">
        <f t="shared" si="3"/>
        <v>50</v>
      </c>
      <c r="M9" s="22">
        <v>12</v>
      </c>
      <c r="N9" s="23">
        <f t="shared" si="4"/>
        <v>60</v>
      </c>
      <c r="O9" s="22">
        <v>8</v>
      </c>
      <c r="P9" s="23">
        <f t="shared" si="5"/>
        <v>80</v>
      </c>
      <c r="Q9" s="24">
        <f t="shared" si="6"/>
        <v>0.56666666666666665</v>
      </c>
      <c r="R9" s="25">
        <v>67.5</v>
      </c>
      <c r="S9" s="26" t="str">
        <f t="shared" si="7"/>
        <v>Your end-of-term exam marks are: Speaking 80%, Listening 50%, Reading 60%, and Writing 80%</v>
      </c>
      <c r="T9" s="27">
        <v>82.54</v>
      </c>
      <c r="U9" s="27">
        <v>82.54</v>
      </c>
      <c r="V9" s="29" cm="1">
        <f t="array" ref="V9">_xlfn.IFS(U9&gt;=80, 4, U9&gt;=75, 3.5, U9&gt;=70, 3, U9&gt;=65, 2.5, U9&gt;=60, 2, U9&gt;=55, 1.5, U9&gt;=50, 1, U9&lt;50, 0)</f>
        <v>4</v>
      </c>
      <c r="W9" s="28">
        <v>84.96</v>
      </c>
      <c r="X9" s="29" cm="1">
        <f t="array" ref="X9">_xlfn.IFS(W9&gt;=80, 4, W9&gt;=75, 3.5, W9&gt;=70, 3, W9&gt;=65, 2.5, W9&gt;=60, 2, W9&gt;=55, 1.5, W9&gt;=50, 1, W9&lt;50, 0)</f>
        <v>4</v>
      </c>
      <c r="Y9" s="28" t="str">
        <f t="shared" si="0"/>
        <v>Improved</v>
      </c>
      <c r="Z9" s="28" t="str">
        <f t="shared" si="1"/>
        <v>Same</v>
      </c>
      <c r="AA9" s="28"/>
      <c r="AB9" s="28"/>
    </row>
    <row r="10" spans="1:28" ht="13.8">
      <c r="A10" s="17" t="s">
        <v>80</v>
      </c>
      <c r="B10" s="18" t="s">
        <v>81</v>
      </c>
      <c r="C10" s="19" t="s">
        <v>4</v>
      </c>
      <c r="D10" s="20">
        <v>982</v>
      </c>
      <c r="E10" s="19" t="s">
        <v>15</v>
      </c>
      <c r="F10" s="18"/>
      <c r="G10" s="18"/>
      <c r="H10" s="19" t="s">
        <v>3</v>
      </c>
      <c r="I10" s="21">
        <v>3.5</v>
      </c>
      <c r="J10" s="22">
        <f t="shared" si="2"/>
        <v>70</v>
      </c>
      <c r="K10" s="22">
        <v>13</v>
      </c>
      <c r="L10" s="22">
        <f t="shared" si="3"/>
        <v>65</v>
      </c>
      <c r="M10" s="22">
        <v>14</v>
      </c>
      <c r="N10" s="23">
        <f t="shared" si="4"/>
        <v>70</v>
      </c>
      <c r="O10" s="22">
        <v>9</v>
      </c>
      <c r="P10" s="23">
        <f t="shared" si="5"/>
        <v>90</v>
      </c>
      <c r="Q10" s="24">
        <f t="shared" si="6"/>
        <v>0.65833333333333333</v>
      </c>
      <c r="R10" s="25">
        <v>73.75</v>
      </c>
      <c r="S10" s="26" t="str">
        <f t="shared" si="7"/>
        <v>Your end-of-term exam marks are: Speaking 70%, Listening 65%, Reading 70%, and Writing 90%</v>
      </c>
      <c r="T10" s="27">
        <v>66.94</v>
      </c>
      <c r="U10" s="27">
        <v>66.94</v>
      </c>
      <c r="V10" s="29" cm="1">
        <f t="array" ref="V10">_xlfn.IFS(U10&gt;=80, 4, U10&gt;=75, 3.5, U10&gt;=70, 3, U10&gt;=65, 2.5, U10&gt;=60, 2, U10&gt;=55, 1.5, U10&gt;=50, 1, U10&lt;50, 0)</f>
        <v>2.5</v>
      </c>
      <c r="W10" s="28">
        <v>56.23</v>
      </c>
      <c r="X10" s="29" cm="1">
        <f t="array" ref="X10">_xlfn.IFS(W10&gt;=80, 4, W10&gt;=75, 3.5, W10&gt;=70, 3, W10&gt;=65, 2.5, W10&gt;=60, 2, W10&gt;=55, 1.5, W10&gt;=50, 1, W10&lt;50, 0)</f>
        <v>1.5</v>
      </c>
      <c r="Y10" s="28" t="str">
        <f t="shared" si="0"/>
        <v>Declined</v>
      </c>
      <c r="Z10" s="28" t="str">
        <f t="shared" si="1"/>
        <v>Declined</v>
      </c>
      <c r="AA10" s="28"/>
      <c r="AB10" s="28"/>
    </row>
    <row r="11" spans="1:28" ht="13.8">
      <c r="A11" s="17" t="s">
        <v>80</v>
      </c>
      <c r="B11" s="18" t="s">
        <v>81</v>
      </c>
      <c r="C11" s="19" t="s">
        <v>4</v>
      </c>
      <c r="D11" s="20">
        <v>1024</v>
      </c>
      <c r="E11" s="19" t="s">
        <v>8</v>
      </c>
      <c r="F11" s="18"/>
      <c r="G11" s="18"/>
      <c r="H11" s="19" t="s">
        <v>3</v>
      </c>
      <c r="I11" s="21">
        <v>4</v>
      </c>
      <c r="J11" s="22">
        <f t="shared" si="2"/>
        <v>80</v>
      </c>
      <c r="K11" s="22">
        <v>9</v>
      </c>
      <c r="L11" s="22">
        <f t="shared" si="3"/>
        <v>45</v>
      </c>
      <c r="M11" s="22">
        <v>5</v>
      </c>
      <c r="N11" s="23">
        <f t="shared" si="4"/>
        <v>25</v>
      </c>
      <c r="O11" s="22">
        <v>0</v>
      </c>
      <c r="P11" s="23">
        <f t="shared" si="5"/>
        <v>0</v>
      </c>
      <c r="Q11" s="24">
        <f t="shared" si="6"/>
        <v>0.3</v>
      </c>
      <c r="R11" s="25">
        <v>37.5</v>
      </c>
      <c r="S11" s="26" t="str">
        <f t="shared" si="7"/>
        <v>Your end-of-term exam marks are: Speaking 80%, Listening 45%, Reading 25%, and Writing 0%</v>
      </c>
      <c r="T11" s="27">
        <v>67.709999999999994</v>
      </c>
      <c r="U11" s="27">
        <v>67.709999999999994</v>
      </c>
      <c r="V11" s="29" cm="1">
        <f t="array" ref="V11">_xlfn.IFS(U11&gt;=80, 4, U11&gt;=75, 3.5, U11&gt;=70, 3, U11&gt;=65, 2.5, U11&gt;=60, 2, U11&gt;=55, 1.5, U11&gt;=50, 1, U11&lt;50, 0)</f>
        <v>2.5</v>
      </c>
      <c r="W11" s="28">
        <v>69.709999999999994</v>
      </c>
      <c r="X11" s="29" cm="1">
        <f t="array" ref="X11">_xlfn.IFS(W11&gt;=80, 4, W11&gt;=75, 3.5, W11&gt;=70, 3, W11&gt;=65, 2.5, W11&gt;=60, 2, W11&gt;=55, 1.5, W11&gt;=50, 1, W11&lt;50, 0)</f>
        <v>2.5</v>
      </c>
      <c r="Y11" s="28" t="str">
        <f t="shared" si="0"/>
        <v>Improved</v>
      </c>
      <c r="Z11" s="28" t="str">
        <f t="shared" si="1"/>
        <v>Same</v>
      </c>
      <c r="AA11" s="28"/>
      <c r="AB11" s="28"/>
    </row>
    <row r="12" spans="1:28" ht="13.8">
      <c r="A12" s="17" t="s">
        <v>80</v>
      </c>
      <c r="B12" s="18" t="s">
        <v>81</v>
      </c>
      <c r="C12" s="19" t="s">
        <v>4</v>
      </c>
      <c r="D12" s="20">
        <v>1018</v>
      </c>
      <c r="E12" s="19" t="s">
        <v>12</v>
      </c>
      <c r="F12" s="18"/>
      <c r="G12" s="18"/>
      <c r="H12" s="19" t="s">
        <v>3</v>
      </c>
      <c r="I12" s="21">
        <v>2</v>
      </c>
      <c r="J12" s="22">
        <f t="shared" si="2"/>
        <v>40</v>
      </c>
      <c r="K12" s="22">
        <v>6</v>
      </c>
      <c r="L12" s="22">
        <f t="shared" si="3"/>
        <v>30</v>
      </c>
      <c r="M12" s="22">
        <v>8</v>
      </c>
      <c r="N12" s="23">
        <f t="shared" si="4"/>
        <v>40</v>
      </c>
      <c r="O12" s="22">
        <v>7.5</v>
      </c>
      <c r="P12" s="23">
        <f t="shared" si="5"/>
        <v>75</v>
      </c>
      <c r="Q12" s="24">
        <f t="shared" si="6"/>
        <v>0.39166666666666666</v>
      </c>
      <c r="R12" s="25">
        <v>46.25</v>
      </c>
      <c r="S12" s="26" t="str">
        <f t="shared" si="7"/>
        <v>Your end-of-term exam marks are: Speaking 40%, Listening 30%, Reading 40%, and Writing 75%</v>
      </c>
      <c r="T12" s="27">
        <v>54.06</v>
      </c>
      <c r="U12" s="27">
        <v>54.06</v>
      </c>
      <c r="V12" s="29" cm="1">
        <f t="array" ref="V12">_xlfn.IFS(U12&gt;=80, 4, U12&gt;=75, 3.5, U12&gt;=70, 3, U12&gt;=65, 2.5, U12&gt;=60, 2, U12&gt;=55, 1.5, U12&gt;=50, 1, U12&lt;50, 0)</f>
        <v>1</v>
      </c>
      <c r="W12" s="28">
        <v>68.86</v>
      </c>
      <c r="X12" s="29" cm="1">
        <f t="array" ref="X12">_xlfn.IFS(W12&gt;=80, 4, W12&gt;=75, 3.5, W12&gt;=70, 3, W12&gt;=65, 2.5, W12&gt;=60, 2, W12&gt;=55, 1.5, W12&gt;=50, 1, W12&lt;50, 0)</f>
        <v>2.5</v>
      </c>
      <c r="Y12" s="28" t="str">
        <f t="shared" si="0"/>
        <v>Improved</v>
      </c>
      <c r="Z12" s="28" t="str">
        <f t="shared" si="1"/>
        <v>Improved</v>
      </c>
      <c r="AA12" s="28"/>
      <c r="AB12" s="28"/>
    </row>
    <row r="13" spans="1:28" ht="13.8">
      <c r="A13" s="17" t="s">
        <v>80</v>
      </c>
      <c r="B13" s="18" t="s">
        <v>81</v>
      </c>
      <c r="C13" s="19" t="s">
        <v>4</v>
      </c>
      <c r="D13" s="20">
        <v>1091</v>
      </c>
      <c r="E13" s="19" t="s">
        <v>16</v>
      </c>
      <c r="F13" s="18"/>
      <c r="G13" s="18"/>
      <c r="H13" s="19" t="s">
        <v>3</v>
      </c>
      <c r="I13" s="21">
        <v>3.5</v>
      </c>
      <c r="J13" s="22">
        <f t="shared" si="2"/>
        <v>70</v>
      </c>
      <c r="K13" s="22">
        <v>6</v>
      </c>
      <c r="L13" s="22">
        <f t="shared" si="3"/>
        <v>30</v>
      </c>
      <c r="M13" s="22">
        <v>8</v>
      </c>
      <c r="N13" s="23">
        <f t="shared" si="4"/>
        <v>40</v>
      </c>
      <c r="O13" s="22">
        <v>3</v>
      </c>
      <c r="P13" s="23">
        <f t="shared" si="5"/>
        <v>30</v>
      </c>
      <c r="Q13" s="24">
        <f t="shared" si="6"/>
        <v>0.34166666666666667</v>
      </c>
      <c r="R13" s="25">
        <v>42.5</v>
      </c>
      <c r="S13" s="26" t="str">
        <f t="shared" si="7"/>
        <v>Your end-of-term exam marks are: Speaking 70%, Listening 30%, Reading 40%, and Writing 30%</v>
      </c>
      <c r="T13" s="27">
        <v>81.790000000000006</v>
      </c>
      <c r="U13" s="27">
        <v>81.790000000000006</v>
      </c>
      <c r="V13" s="29" cm="1">
        <f t="array" ref="V13">_xlfn.IFS(U13&gt;=80, 4, U13&gt;=75, 3.5, U13&gt;=70, 3, U13&gt;=65, 2.5, U13&gt;=60, 2, U13&gt;=55, 1.5, U13&gt;=50, 1, U13&lt;50, 0)</f>
        <v>4</v>
      </c>
      <c r="W13" s="28">
        <v>73.37</v>
      </c>
      <c r="X13" s="29" cm="1">
        <f t="array" ref="X13">_xlfn.IFS(W13&gt;=80, 4, W13&gt;=75, 3.5, W13&gt;=70, 3, W13&gt;=65, 2.5, W13&gt;=60, 2, W13&gt;=55, 1.5, W13&gt;=50, 1, W13&lt;50, 0)</f>
        <v>3</v>
      </c>
      <c r="Y13" s="28" t="str">
        <f t="shared" si="0"/>
        <v>Declined</v>
      </c>
      <c r="Z13" s="28" t="str">
        <f t="shared" si="1"/>
        <v>Declined</v>
      </c>
      <c r="AA13" s="28"/>
      <c r="AB13" s="28"/>
    </row>
    <row r="14" spans="1:28" ht="13.8">
      <c r="A14" s="17" t="s">
        <v>80</v>
      </c>
      <c r="B14" s="18" t="s">
        <v>81</v>
      </c>
      <c r="C14" s="19" t="s">
        <v>4</v>
      </c>
      <c r="D14" s="20">
        <v>979</v>
      </c>
      <c r="E14" s="19" t="s">
        <v>14</v>
      </c>
      <c r="F14" s="18"/>
      <c r="G14" s="18"/>
      <c r="H14" s="19" t="s">
        <v>3</v>
      </c>
      <c r="I14" s="21">
        <v>4</v>
      </c>
      <c r="J14" s="22">
        <f t="shared" si="2"/>
        <v>80</v>
      </c>
      <c r="K14" s="22">
        <v>16</v>
      </c>
      <c r="L14" s="22">
        <f t="shared" si="3"/>
        <v>80</v>
      </c>
      <c r="M14" s="22">
        <v>12</v>
      </c>
      <c r="N14" s="23">
        <f t="shared" si="4"/>
        <v>60</v>
      </c>
      <c r="O14" s="22">
        <v>8</v>
      </c>
      <c r="P14" s="23">
        <f t="shared" si="5"/>
        <v>80</v>
      </c>
      <c r="Q14" s="24">
        <f t="shared" si="6"/>
        <v>0.66666666666666663</v>
      </c>
      <c r="R14" s="25">
        <v>75</v>
      </c>
      <c r="S14" s="26" t="str">
        <f t="shared" si="7"/>
        <v>Your end-of-term exam marks are: Speaking 80%, Listening 80%, Reading 60%, and Writing 80%</v>
      </c>
      <c r="T14" s="27">
        <v>84.08</v>
      </c>
      <c r="U14" s="27">
        <v>84.08</v>
      </c>
      <c r="V14" s="29" cm="1">
        <f t="array" ref="V14">_xlfn.IFS(U14&gt;=80, 4, U14&gt;=75, 3.5, U14&gt;=70, 3, U14&gt;=65, 2.5, U14&gt;=60, 2, U14&gt;=55, 1.5, U14&gt;=50, 1, U14&lt;50, 0)</f>
        <v>4</v>
      </c>
      <c r="W14" s="28">
        <v>84.18</v>
      </c>
      <c r="X14" s="29" cm="1">
        <f t="array" ref="X14">_xlfn.IFS(W14&gt;=80, 4, W14&gt;=75, 3.5, W14&gt;=70, 3, W14&gt;=65, 2.5, W14&gt;=60, 2, W14&gt;=55, 1.5, W14&gt;=50, 1, W14&lt;50, 0)</f>
        <v>4</v>
      </c>
      <c r="Y14" s="28" t="str">
        <f t="shared" si="0"/>
        <v>Same</v>
      </c>
      <c r="Z14" s="28" t="str">
        <f t="shared" si="1"/>
        <v>Same</v>
      </c>
      <c r="AA14" s="28"/>
      <c r="AB14" s="28"/>
    </row>
    <row r="15" spans="1:28" ht="13.8">
      <c r="A15" s="32"/>
      <c r="B15" s="32" t="s">
        <v>81</v>
      </c>
      <c r="C15" s="32"/>
      <c r="D15" s="33"/>
      <c r="E15" s="32" t="s">
        <v>82</v>
      </c>
      <c r="F15" s="32"/>
      <c r="G15" s="32"/>
      <c r="H15" s="34"/>
      <c r="I15" s="35">
        <f t="shared" ref="I15:Q15" si="8">AVERAGE(I2:I14)</f>
        <v>3.4166666666666665</v>
      </c>
      <c r="J15" s="35">
        <f t="shared" si="8"/>
        <v>68.333333333333329</v>
      </c>
      <c r="K15" s="35">
        <f t="shared" si="8"/>
        <v>11.041666666666666</v>
      </c>
      <c r="L15" s="35">
        <f t="shared" si="8"/>
        <v>55.208333333333336</v>
      </c>
      <c r="M15" s="35">
        <f t="shared" si="8"/>
        <v>10.833333333333334</v>
      </c>
      <c r="N15" s="35">
        <f t="shared" si="8"/>
        <v>54.166666666666664</v>
      </c>
      <c r="O15" s="35">
        <f t="shared" si="8"/>
        <v>5.458333333333333</v>
      </c>
      <c r="P15" s="35">
        <f t="shared" si="8"/>
        <v>54.583333333333336</v>
      </c>
      <c r="Q15" s="36">
        <f t="shared" si="8"/>
        <v>0.51250000000000007</v>
      </c>
      <c r="R15" s="36"/>
      <c r="S15" s="37" t="str">
        <f>CONCATENATE("For your class, the average end-of-term exam marks are: Speaking ", ROUND(J15, 2), "%, Listening ", ROUND(L15, 2), "%, Reading ", ROUND(N15, 2), "%, and Writing ", ROUND(P15, 2), "%")</f>
        <v>For your class, the average end-of-term exam marks are: Speaking 68.33%, Listening 55.21%, Reading 54.17%, and Writing 54.58%</v>
      </c>
      <c r="T15" s="38"/>
      <c r="U15" s="39">
        <f t="shared" ref="U15" si="9">AVERAGE(U2:U14)</f>
        <v>67.125000000000014</v>
      </c>
      <c r="V15" s="39">
        <f>AVERAGE(V2:V14)</f>
        <v>2.3461538461538463</v>
      </c>
      <c r="W15" s="40"/>
      <c r="X15" s="39">
        <f>AVERAGE(X2:X14)</f>
        <v>2.4615384615384617</v>
      </c>
      <c r="Y15" s="36"/>
      <c r="Z15" s="36"/>
      <c r="AA15" s="28"/>
      <c r="AB15" s="28"/>
    </row>
    <row r="16" spans="1:28" ht="13.8">
      <c r="A16" s="17" t="s">
        <v>80</v>
      </c>
      <c r="B16" s="18" t="s">
        <v>83</v>
      </c>
      <c r="C16" s="19" t="s">
        <v>17</v>
      </c>
      <c r="D16" s="20">
        <v>602</v>
      </c>
      <c r="E16" s="19" t="s">
        <v>23</v>
      </c>
      <c r="F16" s="18"/>
      <c r="G16" s="18"/>
      <c r="H16" s="19" t="s">
        <v>3</v>
      </c>
      <c r="I16" s="21">
        <v>4.5</v>
      </c>
      <c r="J16" s="22">
        <f t="shared" ref="J16:J19" si="10">(I16/5)*100</f>
        <v>90</v>
      </c>
      <c r="K16" s="22">
        <v>14</v>
      </c>
      <c r="L16" s="22">
        <f t="shared" ref="L16:L19" si="11">(K16/20)*100</f>
        <v>70</v>
      </c>
      <c r="M16" s="22">
        <v>12.5</v>
      </c>
      <c r="N16" s="23">
        <f t="shared" ref="N16:N19" si="12">(M16/20)*100</f>
        <v>62.5</v>
      </c>
      <c r="O16" s="22">
        <v>7</v>
      </c>
      <c r="P16" s="23">
        <f t="shared" ref="P16:P19" si="13">(O16/10)*100</f>
        <v>70</v>
      </c>
      <c r="Q16" s="24">
        <f t="shared" ref="Q16:Q19" si="14">(SUM(I16,K16,M16,O16)/60)</f>
        <v>0.6333333333333333</v>
      </c>
      <c r="R16" s="25">
        <v>73.125</v>
      </c>
      <c r="S16" s="26" t="str">
        <f t="shared" ref="S16:S19" si="15">CONCATENATE("Your end-of-term exam marks are: Speaking ", J16, "%, Listening ", L16, "%, Reading ", N16, "%, and Writing ", P16, "%")</f>
        <v>Your end-of-term exam marks are: Speaking 90%, Listening 70%, Reading 62.5%, and Writing 70%</v>
      </c>
      <c r="T16" s="31">
        <v>74.150000000000006</v>
      </c>
      <c r="U16" s="31">
        <v>75</v>
      </c>
      <c r="V16" s="29" cm="1">
        <f t="array" ref="V16">_xlfn.IFS(U16&gt;=80, 4, U16&gt;=75, 3.5, U16&gt;=70, 3, U16&gt;=65, 2.5, U16&gt;=60, 2, U16&gt;=55, 1.5, U16&gt;=50, 1, U16&lt;50, 0)</f>
        <v>3.5</v>
      </c>
      <c r="W16" s="28">
        <v>72.83</v>
      </c>
      <c r="X16" s="29" cm="1">
        <f t="array" ref="X16">_xlfn.IFS(W16&gt;=80, 4, W16&gt;=75, 3.5, W16&gt;=70, 3, W16&gt;=65, 2.5, W16&gt;=60, 2, W16&gt;=55, 1.5, W16&gt;=50, 1, W16&lt;50, 0)</f>
        <v>3</v>
      </c>
      <c r="Y16" s="28" t="str">
        <f t="shared" ref="Y16:Y28" si="16">IF(OR(U16="", W16=""), "New Student", IF(W16-U16 &gt;= 2, "Improved", IF(U16-W16 &gt;= 2, "Declined", "Same")))</f>
        <v>Declined</v>
      </c>
      <c r="Z16" s="28" t="str">
        <f t="shared" ref="Z16:Z28" si="17">IF(OR(V16="", X16=""), "New Student", IF(X16-V16 &gt;= 0.5, "Improved", IF(V16-X16 &gt;= 0.5, "Declined", "Same")))</f>
        <v>Declined</v>
      </c>
      <c r="AA16" s="28"/>
      <c r="AB16" s="28"/>
    </row>
    <row r="17" spans="1:28" ht="13.8">
      <c r="A17" s="17" t="s">
        <v>80</v>
      </c>
      <c r="B17" s="18" t="s">
        <v>83</v>
      </c>
      <c r="C17" s="19" t="s">
        <v>17</v>
      </c>
      <c r="D17" s="20">
        <v>718</v>
      </c>
      <c r="E17" s="19" t="s">
        <v>29</v>
      </c>
      <c r="F17" s="18"/>
      <c r="G17" s="18"/>
      <c r="H17" s="19" t="s">
        <v>3</v>
      </c>
      <c r="I17" s="21">
        <v>3.5</v>
      </c>
      <c r="J17" s="22">
        <f t="shared" si="10"/>
        <v>70</v>
      </c>
      <c r="K17" s="22">
        <v>10</v>
      </c>
      <c r="L17" s="22">
        <f t="shared" si="11"/>
        <v>50</v>
      </c>
      <c r="M17" s="22">
        <v>9</v>
      </c>
      <c r="N17" s="23">
        <f t="shared" si="12"/>
        <v>45</v>
      </c>
      <c r="O17" s="22">
        <v>7</v>
      </c>
      <c r="P17" s="23">
        <f t="shared" si="13"/>
        <v>70</v>
      </c>
      <c r="Q17" s="24">
        <f t="shared" si="14"/>
        <v>0.49166666666666664</v>
      </c>
      <c r="R17" s="25">
        <v>58.75</v>
      </c>
      <c r="S17" s="26" t="str">
        <f t="shared" si="15"/>
        <v>Your end-of-term exam marks are: Speaking 70%, Listening 50%, Reading 45%, and Writing 70%</v>
      </c>
      <c r="T17" s="27">
        <v>70</v>
      </c>
      <c r="U17" s="27">
        <v>70</v>
      </c>
      <c r="V17" s="29" cm="1">
        <f t="array" ref="V17">_xlfn.IFS(U17&gt;=80, 4, U17&gt;=75, 3.5, U17&gt;=70, 3, U17&gt;=65, 2.5, U17&gt;=60, 2, U17&gt;=55, 1.5, U17&gt;=50, 1, U17&lt;50, 0)</f>
        <v>3</v>
      </c>
      <c r="W17" s="28">
        <v>70.02</v>
      </c>
      <c r="X17" s="29" cm="1">
        <f t="array" ref="X17">_xlfn.IFS(W17&gt;=80, 4, W17&gt;=75, 3.5, W17&gt;=70, 3, W17&gt;=65, 2.5, W17&gt;=60, 2, W17&gt;=55, 1.5, W17&gt;=50, 1, W17&lt;50, 0)</f>
        <v>3</v>
      </c>
      <c r="Y17" s="28" t="str">
        <f t="shared" si="16"/>
        <v>Same</v>
      </c>
      <c r="Z17" s="28" t="str">
        <f t="shared" si="17"/>
        <v>Same</v>
      </c>
      <c r="AA17" s="28"/>
      <c r="AB17" s="28"/>
    </row>
    <row r="18" spans="1:28" ht="13.8">
      <c r="A18" s="17" t="s">
        <v>80</v>
      </c>
      <c r="B18" s="18" t="s">
        <v>83</v>
      </c>
      <c r="C18" s="19" t="s">
        <v>17</v>
      </c>
      <c r="D18" s="20">
        <v>923</v>
      </c>
      <c r="E18" s="19" t="s">
        <v>22</v>
      </c>
      <c r="F18" s="18"/>
      <c r="G18" s="18"/>
      <c r="H18" s="19" t="s">
        <v>3</v>
      </c>
      <c r="I18" s="21">
        <v>3.5</v>
      </c>
      <c r="J18" s="22">
        <f t="shared" si="10"/>
        <v>70</v>
      </c>
      <c r="K18" s="22">
        <v>12</v>
      </c>
      <c r="L18" s="22">
        <f t="shared" si="11"/>
        <v>60</v>
      </c>
      <c r="M18" s="22">
        <v>11</v>
      </c>
      <c r="N18" s="23">
        <f t="shared" si="12"/>
        <v>55.000000000000007</v>
      </c>
      <c r="O18" s="22">
        <v>8</v>
      </c>
      <c r="P18" s="23">
        <f t="shared" si="13"/>
        <v>80</v>
      </c>
      <c r="Q18" s="24">
        <f t="shared" si="14"/>
        <v>0.57499999999999996</v>
      </c>
      <c r="R18" s="25">
        <v>66.25</v>
      </c>
      <c r="S18" s="26" t="str">
        <f t="shared" si="15"/>
        <v>Your end-of-term exam marks are: Speaking 70%, Listening 60%, Reading 55%, and Writing 80%</v>
      </c>
      <c r="T18" s="31">
        <v>74.61</v>
      </c>
      <c r="U18" s="31">
        <v>75</v>
      </c>
      <c r="V18" s="29" cm="1">
        <f t="array" ref="V18">_xlfn.IFS(U18&gt;=80, 4, U18&gt;=75, 3.5, U18&gt;=70, 3, U18&gt;=65, 2.5, U18&gt;=60, 2, U18&gt;=55, 1.5, U18&gt;=50, 1, U18&lt;50, 0)</f>
        <v>3.5</v>
      </c>
      <c r="W18" s="28">
        <v>76</v>
      </c>
      <c r="X18" s="29" cm="1">
        <f t="array" ref="X18">_xlfn.IFS(W18&gt;=80, 4, W18&gt;=75, 3.5, W18&gt;=70, 3, W18&gt;=65, 2.5, W18&gt;=60, 2, W18&gt;=55, 1.5, W18&gt;=50, 1, W18&lt;50, 0)</f>
        <v>3.5</v>
      </c>
      <c r="Y18" s="28" t="str">
        <f t="shared" si="16"/>
        <v>Same</v>
      </c>
      <c r="Z18" s="28" t="str">
        <f t="shared" si="17"/>
        <v>Same</v>
      </c>
      <c r="AA18" s="28"/>
      <c r="AB18" s="28"/>
    </row>
    <row r="19" spans="1:28" ht="13.8">
      <c r="A19" s="17" t="s">
        <v>80</v>
      </c>
      <c r="B19" s="18" t="s">
        <v>83</v>
      </c>
      <c r="C19" s="19" t="s">
        <v>17</v>
      </c>
      <c r="D19" s="20">
        <v>745</v>
      </c>
      <c r="E19" s="19" t="s">
        <v>28</v>
      </c>
      <c r="F19" s="18"/>
      <c r="G19" s="18"/>
      <c r="H19" s="19" t="s">
        <v>3</v>
      </c>
      <c r="I19" s="21">
        <v>4.5</v>
      </c>
      <c r="J19" s="22">
        <f t="shared" si="10"/>
        <v>90</v>
      </c>
      <c r="K19" s="22">
        <v>8</v>
      </c>
      <c r="L19" s="22">
        <f t="shared" si="11"/>
        <v>40</v>
      </c>
      <c r="M19" s="22">
        <v>13</v>
      </c>
      <c r="N19" s="23">
        <f t="shared" si="12"/>
        <v>65</v>
      </c>
      <c r="O19" s="22">
        <v>8</v>
      </c>
      <c r="P19" s="23">
        <f t="shared" si="13"/>
        <v>80</v>
      </c>
      <c r="Q19" s="24">
        <f t="shared" si="14"/>
        <v>0.55833333333333335</v>
      </c>
      <c r="R19" s="25">
        <v>68.75</v>
      </c>
      <c r="S19" s="26" t="str">
        <f t="shared" si="15"/>
        <v>Your end-of-term exam marks are: Speaking 90%, Listening 40%, Reading 65%, and Writing 80%</v>
      </c>
      <c r="T19" s="31">
        <v>74.53</v>
      </c>
      <c r="U19" s="31">
        <v>75</v>
      </c>
      <c r="V19" s="29" cm="1">
        <f t="array" ref="V19">_xlfn.IFS(U19&gt;=80, 4, U19&gt;=75, 3.5, U19&gt;=70, 3, U19&gt;=65, 2.5, U19&gt;=60, 2, U19&gt;=55, 1.5, U19&gt;=50, 1, U19&lt;50, 0)</f>
        <v>3.5</v>
      </c>
      <c r="W19" s="28">
        <v>50.82</v>
      </c>
      <c r="X19" s="29" cm="1">
        <f t="array" ref="X19">_xlfn.IFS(W19&gt;=80, 4, W19&gt;=75, 3.5, W19&gt;=70, 3, W19&gt;=65, 2.5, W19&gt;=60, 2, W19&gt;=55, 1.5, W19&gt;=50, 1, W19&lt;50, 0)</f>
        <v>1</v>
      </c>
      <c r="Y19" s="28" t="str">
        <f t="shared" si="16"/>
        <v>Declined</v>
      </c>
      <c r="Z19" s="28" t="str">
        <f t="shared" si="17"/>
        <v>Declined</v>
      </c>
      <c r="AA19" s="28"/>
      <c r="AB19" s="28"/>
    </row>
    <row r="20" spans="1:28" ht="13.8">
      <c r="A20" s="17"/>
      <c r="B20" s="18"/>
      <c r="C20" s="19"/>
      <c r="D20" s="20"/>
      <c r="E20" s="19"/>
      <c r="F20" s="18"/>
      <c r="G20" s="18"/>
      <c r="H20" s="19" t="s">
        <v>3</v>
      </c>
      <c r="I20" s="21"/>
      <c r="J20" s="22"/>
      <c r="K20" s="22"/>
      <c r="L20" s="22"/>
      <c r="M20" s="22"/>
      <c r="N20" s="23"/>
      <c r="O20" s="22"/>
      <c r="P20" s="23"/>
      <c r="Q20" s="24"/>
      <c r="R20" s="25"/>
      <c r="S20" s="26"/>
      <c r="T20" s="27"/>
      <c r="U20" s="27"/>
      <c r="V20" s="29" cm="1">
        <f t="array" ref="V20">_xlfn.IFS(U20&gt;=80, 4, U20&gt;=75, 3.5, U20&gt;=70, 3, U20&gt;=65, 2.5, U20&gt;=60, 2, U20&gt;=55, 1.5, U20&gt;=50, 1, U20&lt;50, 0)</f>
        <v>0</v>
      </c>
      <c r="W20" s="28">
        <v>51.9</v>
      </c>
      <c r="X20" s="29" cm="1">
        <f t="array" ref="X20">_xlfn.IFS(W20&gt;=80, 4, W20&gt;=75, 3.5, W20&gt;=70, 3, W20&gt;=65, 2.5, W20&gt;=60, 2, W20&gt;=55, 1.5, W20&gt;=50, 1, W20&lt;50, 0)</f>
        <v>1</v>
      </c>
      <c r="Y20" s="28" t="str">
        <f t="shared" si="16"/>
        <v>New Student</v>
      </c>
      <c r="Z20" s="28" t="str">
        <f t="shared" si="17"/>
        <v>Improved</v>
      </c>
      <c r="AA20" s="28"/>
      <c r="AB20" s="28"/>
    </row>
    <row r="21" spans="1:28" ht="13.8">
      <c r="A21" s="17" t="s">
        <v>80</v>
      </c>
      <c r="B21" s="18" t="s">
        <v>83</v>
      </c>
      <c r="C21" s="19" t="s">
        <v>17</v>
      </c>
      <c r="D21" s="20">
        <v>743</v>
      </c>
      <c r="E21" s="19" t="s">
        <v>19</v>
      </c>
      <c r="F21" s="18"/>
      <c r="G21" s="18"/>
      <c r="H21" s="19" t="s">
        <v>3</v>
      </c>
      <c r="I21" s="21">
        <v>3</v>
      </c>
      <c r="J21" s="22">
        <f t="shared" ref="J21:J28" si="18">(I21/5)*100</f>
        <v>60</v>
      </c>
      <c r="K21" s="22">
        <v>10</v>
      </c>
      <c r="L21" s="22">
        <f t="shared" ref="L21:L28" si="19">(K21/20)*100</f>
        <v>50</v>
      </c>
      <c r="M21" s="22">
        <v>9</v>
      </c>
      <c r="N21" s="23">
        <f t="shared" ref="N21:N28" si="20">(M21/20)*100</f>
        <v>45</v>
      </c>
      <c r="O21" s="22">
        <v>6</v>
      </c>
      <c r="P21" s="23">
        <f t="shared" ref="P21:P28" si="21">(O21/10)*100</f>
        <v>60</v>
      </c>
      <c r="Q21" s="24">
        <f t="shared" ref="Q21:Q28" si="22">(SUM(I21,K21,M21,O21)/60)</f>
        <v>0.46666666666666667</v>
      </c>
      <c r="R21" s="25">
        <v>53.75</v>
      </c>
      <c r="S21" s="26" t="str">
        <f t="shared" ref="S21:S28" si="23">CONCATENATE("Your end-of-term exam marks are: Speaking ", J21, "%, Listening ", L21, "%, Reading ", N21, "%, and Writing ", P21, "%")</f>
        <v>Your end-of-term exam marks are: Speaking 60%, Listening 50%, Reading 45%, and Writing 60%</v>
      </c>
      <c r="T21" s="27">
        <v>72.319999999999993</v>
      </c>
      <c r="U21" s="27">
        <v>72.319999999999993</v>
      </c>
      <c r="V21" s="29" cm="1">
        <f t="array" ref="V21">_xlfn.IFS(U21&gt;=80, 4, U21&gt;=75, 3.5, U21&gt;=70, 3, U21&gt;=65, 2.5, U21&gt;=60, 2, U21&gt;=55, 1.5, U21&gt;=50, 1, U21&lt;50, 0)</f>
        <v>3</v>
      </c>
      <c r="W21" s="28">
        <v>54.15</v>
      </c>
      <c r="X21" s="29" cm="1">
        <f t="array" ref="X21">_xlfn.IFS(W21&gt;=80, 4, W21&gt;=75, 3.5, W21&gt;=70, 3, W21&gt;=65, 2.5, W21&gt;=60, 2, W21&gt;=55, 1.5, W21&gt;=50, 1, W21&lt;50, 0)</f>
        <v>1</v>
      </c>
      <c r="Y21" s="28" t="str">
        <f t="shared" si="16"/>
        <v>Declined</v>
      </c>
      <c r="Z21" s="28" t="str">
        <f t="shared" si="17"/>
        <v>Declined</v>
      </c>
      <c r="AA21" s="28"/>
      <c r="AB21" s="28"/>
    </row>
    <row r="22" spans="1:28" ht="13.8">
      <c r="A22" s="17" t="s">
        <v>80</v>
      </c>
      <c r="B22" s="18" t="s">
        <v>83</v>
      </c>
      <c r="C22" s="19" t="s">
        <v>17</v>
      </c>
      <c r="D22" s="20">
        <v>758</v>
      </c>
      <c r="E22" s="19" t="s">
        <v>24</v>
      </c>
      <c r="F22" s="18"/>
      <c r="G22" s="18"/>
      <c r="H22" s="19" t="s">
        <v>3</v>
      </c>
      <c r="I22" s="21">
        <v>3.5</v>
      </c>
      <c r="J22" s="22">
        <f t="shared" si="18"/>
        <v>70</v>
      </c>
      <c r="K22" s="22">
        <v>10</v>
      </c>
      <c r="L22" s="22">
        <f t="shared" si="19"/>
        <v>50</v>
      </c>
      <c r="M22" s="22">
        <v>9</v>
      </c>
      <c r="N22" s="23">
        <f t="shared" si="20"/>
        <v>45</v>
      </c>
      <c r="O22" s="22">
        <v>7</v>
      </c>
      <c r="P22" s="23">
        <f t="shared" si="21"/>
        <v>70</v>
      </c>
      <c r="Q22" s="24">
        <f t="shared" si="22"/>
        <v>0.49166666666666664</v>
      </c>
      <c r="R22" s="25">
        <v>58.75</v>
      </c>
      <c r="S22" s="26" t="str">
        <f t="shared" si="23"/>
        <v>Your end-of-term exam marks are: Speaking 70%, Listening 50%, Reading 45%, and Writing 70%</v>
      </c>
      <c r="T22" s="27">
        <v>55.21</v>
      </c>
      <c r="U22" s="27">
        <v>55.21</v>
      </c>
      <c r="V22" s="29" cm="1">
        <f t="array" ref="V22">_xlfn.IFS(U22&gt;=80, 4, U22&gt;=75, 3.5, U22&gt;=70, 3, U22&gt;=65, 2.5, U22&gt;=60, 2, U22&gt;=55, 1.5, U22&gt;=50, 1, U22&lt;50, 0)</f>
        <v>1.5</v>
      </c>
      <c r="W22" s="28">
        <v>69.39</v>
      </c>
      <c r="X22" s="29" cm="1">
        <f t="array" ref="X22">_xlfn.IFS(W22&gt;=80, 4, W22&gt;=75, 3.5, W22&gt;=70, 3, W22&gt;=65, 2.5, W22&gt;=60, 2, W22&gt;=55, 1.5, W22&gt;=50, 1, W22&lt;50, 0)</f>
        <v>2.5</v>
      </c>
      <c r="Y22" s="28" t="str">
        <f t="shared" si="16"/>
        <v>Improved</v>
      </c>
      <c r="Z22" s="28" t="str">
        <f t="shared" si="17"/>
        <v>Improved</v>
      </c>
      <c r="AA22" s="28"/>
      <c r="AB22" s="28"/>
    </row>
    <row r="23" spans="1:28" ht="13.8">
      <c r="A23" s="17" t="s">
        <v>80</v>
      </c>
      <c r="B23" s="18" t="s">
        <v>83</v>
      </c>
      <c r="C23" s="19" t="s">
        <v>17</v>
      </c>
      <c r="D23" s="20">
        <v>761</v>
      </c>
      <c r="E23" s="19" t="s">
        <v>25</v>
      </c>
      <c r="F23" s="18"/>
      <c r="G23" s="18"/>
      <c r="H23" s="19" t="s">
        <v>3</v>
      </c>
      <c r="I23" s="21">
        <v>3.5</v>
      </c>
      <c r="J23" s="22">
        <f t="shared" si="18"/>
        <v>70</v>
      </c>
      <c r="K23" s="22">
        <v>9</v>
      </c>
      <c r="L23" s="22">
        <f t="shared" si="19"/>
        <v>45</v>
      </c>
      <c r="M23" s="22">
        <v>11</v>
      </c>
      <c r="N23" s="23">
        <f t="shared" si="20"/>
        <v>55.000000000000007</v>
      </c>
      <c r="O23" s="22">
        <v>7</v>
      </c>
      <c r="P23" s="23">
        <f t="shared" si="21"/>
        <v>70</v>
      </c>
      <c r="Q23" s="24">
        <f t="shared" si="22"/>
        <v>0.5083333333333333</v>
      </c>
      <c r="R23" s="25">
        <v>60</v>
      </c>
      <c r="S23" s="26" t="str">
        <f t="shared" si="23"/>
        <v>Your end-of-term exam marks are: Speaking 70%, Listening 45%, Reading 55%, and Writing 70%</v>
      </c>
      <c r="T23" s="31">
        <v>47.85</v>
      </c>
      <c r="U23" s="41">
        <v>50</v>
      </c>
      <c r="V23" s="29" cm="1">
        <f t="array" ref="V23">_xlfn.IFS(U23&gt;=80, 4, U23&gt;=75, 3.5, U23&gt;=70, 3, U23&gt;=65, 2.5, U23&gt;=60, 2, U23&gt;=55, 1.5, U23&gt;=50, 1, U23&lt;50, 0)</f>
        <v>1</v>
      </c>
      <c r="W23" s="28">
        <v>66.17</v>
      </c>
      <c r="X23" s="29" cm="1">
        <f t="array" ref="X23">_xlfn.IFS(W23&gt;=80, 4, W23&gt;=75, 3.5, W23&gt;=70, 3, W23&gt;=65, 2.5, W23&gt;=60, 2, W23&gt;=55, 1.5, W23&gt;=50, 1, W23&lt;50, 0)</f>
        <v>2.5</v>
      </c>
      <c r="Y23" s="28" t="str">
        <f t="shared" si="16"/>
        <v>Improved</v>
      </c>
      <c r="Z23" s="28" t="str">
        <f t="shared" si="17"/>
        <v>Improved</v>
      </c>
      <c r="AA23" s="28"/>
      <c r="AB23" s="28"/>
    </row>
    <row r="24" spans="1:28" ht="13.8">
      <c r="A24" s="17" t="s">
        <v>80</v>
      </c>
      <c r="B24" s="18" t="s">
        <v>83</v>
      </c>
      <c r="C24" s="19" t="s">
        <v>17</v>
      </c>
      <c r="D24" s="20">
        <v>922</v>
      </c>
      <c r="E24" s="19" t="s">
        <v>18</v>
      </c>
      <c r="F24" s="18"/>
      <c r="G24" s="18"/>
      <c r="H24" s="19" t="s">
        <v>3</v>
      </c>
      <c r="I24" s="21">
        <v>3.5</v>
      </c>
      <c r="J24" s="22">
        <f t="shared" si="18"/>
        <v>70</v>
      </c>
      <c r="K24" s="22">
        <v>8</v>
      </c>
      <c r="L24" s="22">
        <f t="shared" si="19"/>
        <v>40</v>
      </c>
      <c r="M24" s="22">
        <v>12</v>
      </c>
      <c r="N24" s="23">
        <f t="shared" si="20"/>
        <v>60</v>
      </c>
      <c r="O24" s="22">
        <v>8</v>
      </c>
      <c r="P24" s="23">
        <f t="shared" si="21"/>
        <v>80</v>
      </c>
      <c r="Q24" s="24">
        <f t="shared" si="22"/>
        <v>0.52500000000000002</v>
      </c>
      <c r="R24" s="25">
        <v>62.5</v>
      </c>
      <c r="S24" s="26" t="str">
        <f t="shared" si="23"/>
        <v>Your end-of-term exam marks are: Speaking 70%, Listening 40%, Reading 60%, and Writing 80%</v>
      </c>
      <c r="T24" s="27">
        <v>64.97</v>
      </c>
      <c r="U24" s="27">
        <v>64.97</v>
      </c>
      <c r="V24" s="29" cm="1">
        <f t="array" ref="V24">_xlfn.IFS(U24&gt;=80, 4, U24&gt;=75, 3.5, U24&gt;=70, 3, U24&gt;=65, 2.5, U24&gt;=60, 2, U24&gt;=55, 1.5, U24&gt;=50, 1, U24&lt;50, 0)</f>
        <v>2</v>
      </c>
      <c r="W24" s="28">
        <v>58.12</v>
      </c>
      <c r="X24" s="29" cm="1">
        <f t="array" ref="X24">_xlfn.IFS(W24&gt;=80, 4, W24&gt;=75, 3.5, W24&gt;=70, 3, W24&gt;=65, 2.5, W24&gt;=60, 2, W24&gt;=55, 1.5, W24&gt;=50, 1, W24&lt;50, 0)</f>
        <v>1.5</v>
      </c>
      <c r="Y24" s="28" t="str">
        <f t="shared" si="16"/>
        <v>Declined</v>
      </c>
      <c r="Z24" s="28" t="str">
        <f t="shared" si="17"/>
        <v>Declined</v>
      </c>
      <c r="AA24" s="28"/>
      <c r="AB24" s="28"/>
    </row>
    <row r="25" spans="1:28" ht="13.8">
      <c r="A25" s="17" t="s">
        <v>80</v>
      </c>
      <c r="B25" s="18" t="s">
        <v>83</v>
      </c>
      <c r="C25" s="19" t="s">
        <v>17</v>
      </c>
      <c r="D25" s="20">
        <v>940</v>
      </c>
      <c r="E25" s="19" t="s">
        <v>20</v>
      </c>
      <c r="F25" s="18"/>
      <c r="G25" s="18"/>
      <c r="H25" s="19" t="s">
        <v>3</v>
      </c>
      <c r="I25" s="21">
        <v>2</v>
      </c>
      <c r="J25" s="22">
        <f t="shared" si="18"/>
        <v>40</v>
      </c>
      <c r="K25" s="22">
        <v>9</v>
      </c>
      <c r="L25" s="22">
        <f t="shared" si="19"/>
        <v>45</v>
      </c>
      <c r="M25" s="22">
        <v>11</v>
      </c>
      <c r="N25" s="23">
        <f t="shared" si="20"/>
        <v>55.000000000000007</v>
      </c>
      <c r="O25" s="22">
        <v>5</v>
      </c>
      <c r="P25" s="23">
        <f t="shared" si="21"/>
        <v>50</v>
      </c>
      <c r="Q25" s="24">
        <f t="shared" si="22"/>
        <v>0.45</v>
      </c>
      <c r="R25" s="25">
        <v>47.5</v>
      </c>
      <c r="S25" s="26" t="str">
        <f t="shared" si="23"/>
        <v>Your end-of-term exam marks are: Speaking 40%, Listening 45%, Reading 55%, and Writing 50%</v>
      </c>
      <c r="T25" s="31">
        <v>32.61</v>
      </c>
      <c r="U25" s="31">
        <v>35</v>
      </c>
      <c r="V25" s="29" cm="1">
        <f t="array" ref="V25">_xlfn.IFS(U25&gt;=80, 4, U25&gt;=75, 3.5, U25&gt;=70, 3, U25&gt;=65, 2.5, U25&gt;=60, 2, U25&gt;=55, 1.5, U25&gt;=50, 1, U25&lt;50, 0)</f>
        <v>0</v>
      </c>
      <c r="W25" s="28">
        <v>64.11</v>
      </c>
      <c r="X25" s="29" cm="1">
        <f t="array" ref="X25">_xlfn.IFS(W25&gt;=80, 4, W25&gt;=75, 3.5, W25&gt;=70, 3, W25&gt;=65, 2.5, W25&gt;=60, 2, W25&gt;=55, 1.5, W25&gt;=50, 1, W25&lt;50, 0)</f>
        <v>2</v>
      </c>
      <c r="Y25" s="28" t="str">
        <f t="shared" si="16"/>
        <v>Improved</v>
      </c>
      <c r="Z25" s="28" t="str">
        <f t="shared" si="17"/>
        <v>Improved</v>
      </c>
      <c r="AA25" s="28"/>
      <c r="AB25" s="28"/>
    </row>
    <row r="26" spans="1:28" ht="13.8">
      <c r="A26" s="17" t="s">
        <v>80</v>
      </c>
      <c r="B26" s="18" t="s">
        <v>83</v>
      </c>
      <c r="C26" s="19" t="s">
        <v>17</v>
      </c>
      <c r="D26" s="20">
        <v>671</v>
      </c>
      <c r="E26" s="19" t="s">
        <v>26</v>
      </c>
      <c r="F26" s="18"/>
      <c r="G26" s="18"/>
      <c r="H26" s="19" t="s">
        <v>3</v>
      </c>
      <c r="I26" s="21">
        <v>2.5</v>
      </c>
      <c r="J26" s="22">
        <f t="shared" si="18"/>
        <v>50</v>
      </c>
      <c r="K26" s="22">
        <v>11</v>
      </c>
      <c r="L26" s="22">
        <f t="shared" si="19"/>
        <v>55.000000000000007</v>
      </c>
      <c r="M26" s="22">
        <v>10</v>
      </c>
      <c r="N26" s="23">
        <f t="shared" si="20"/>
        <v>50</v>
      </c>
      <c r="O26" s="22">
        <v>6</v>
      </c>
      <c r="P26" s="23">
        <f t="shared" si="21"/>
        <v>60</v>
      </c>
      <c r="Q26" s="24">
        <f t="shared" si="22"/>
        <v>0.49166666666666664</v>
      </c>
      <c r="R26" s="25">
        <v>53.75</v>
      </c>
      <c r="S26" s="26" t="str">
        <f t="shared" si="23"/>
        <v>Your end-of-term exam marks are: Speaking 50%, Listening 55%, Reading 50%, and Writing 60%</v>
      </c>
      <c r="T26" s="27">
        <v>61.75</v>
      </c>
      <c r="U26" s="27">
        <v>61.75</v>
      </c>
      <c r="V26" s="29" cm="1">
        <f t="array" ref="V26">_xlfn.IFS(U26&gt;=80, 4, U26&gt;=75, 3.5, U26&gt;=70, 3, U26&gt;=65, 2.5, U26&gt;=60, 2, U26&gt;=55, 1.5, U26&gt;=50, 1, U26&lt;50, 0)</f>
        <v>2</v>
      </c>
      <c r="W26" s="28">
        <v>71.88</v>
      </c>
      <c r="X26" s="29" cm="1">
        <f t="array" ref="X26">_xlfn.IFS(W26&gt;=80, 4, W26&gt;=75, 3.5, W26&gt;=70, 3, W26&gt;=65, 2.5, W26&gt;=60, 2, W26&gt;=55, 1.5, W26&gt;=50, 1, W26&lt;50, 0)</f>
        <v>3</v>
      </c>
      <c r="Y26" s="28" t="str">
        <f t="shared" si="16"/>
        <v>Improved</v>
      </c>
      <c r="Z26" s="28" t="str">
        <f t="shared" si="17"/>
        <v>Improved</v>
      </c>
      <c r="AA26" s="28"/>
      <c r="AB26" s="28"/>
    </row>
    <row r="27" spans="1:28" ht="13.8">
      <c r="A27" s="17" t="s">
        <v>80</v>
      </c>
      <c r="B27" s="18" t="s">
        <v>83</v>
      </c>
      <c r="C27" s="19" t="s">
        <v>17</v>
      </c>
      <c r="D27" s="20">
        <v>723</v>
      </c>
      <c r="E27" s="19" t="s">
        <v>27</v>
      </c>
      <c r="F27" s="18"/>
      <c r="G27" s="18"/>
      <c r="H27" s="19" t="s">
        <v>3</v>
      </c>
      <c r="I27" s="21">
        <v>3.5</v>
      </c>
      <c r="J27" s="22">
        <f t="shared" si="18"/>
        <v>70</v>
      </c>
      <c r="K27" s="22">
        <v>11</v>
      </c>
      <c r="L27" s="22">
        <f t="shared" si="19"/>
        <v>55.000000000000007</v>
      </c>
      <c r="M27" s="22">
        <v>10</v>
      </c>
      <c r="N27" s="23">
        <f t="shared" si="20"/>
        <v>50</v>
      </c>
      <c r="O27" s="22">
        <v>1</v>
      </c>
      <c r="P27" s="23">
        <f t="shared" si="21"/>
        <v>10</v>
      </c>
      <c r="Q27" s="24">
        <f t="shared" si="22"/>
        <v>0.42499999999999999</v>
      </c>
      <c r="R27" s="25">
        <v>46.25</v>
      </c>
      <c r="S27" s="26" t="str">
        <f t="shared" si="23"/>
        <v>Your end-of-term exam marks are: Speaking 70%, Listening 55%, Reading 50%, and Writing 10%</v>
      </c>
      <c r="T27" s="27">
        <v>73.790000000000006</v>
      </c>
      <c r="U27" s="27">
        <v>73.790000000000006</v>
      </c>
      <c r="V27" s="29" cm="1">
        <f t="array" ref="V27">_xlfn.IFS(U27&gt;=80, 4, U27&gt;=75, 3.5, U27&gt;=70, 3, U27&gt;=65, 2.5, U27&gt;=60, 2, U27&gt;=55, 1.5, U27&gt;=50, 1, U27&lt;50, 0)</f>
        <v>3</v>
      </c>
      <c r="W27" s="28">
        <v>62.74</v>
      </c>
      <c r="X27" s="29" cm="1">
        <f t="array" ref="X27">_xlfn.IFS(W27&gt;=80, 4, W27&gt;=75, 3.5, W27&gt;=70, 3, W27&gt;=65, 2.5, W27&gt;=60, 2, W27&gt;=55, 1.5, W27&gt;=50, 1, W27&lt;50, 0)</f>
        <v>2</v>
      </c>
      <c r="Y27" s="28" t="str">
        <f t="shared" si="16"/>
        <v>Declined</v>
      </c>
      <c r="Z27" s="28" t="str">
        <f t="shared" si="17"/>
        <v>Declined</v>
      </c>
      <c r="AA27" s="28"/>
      <c r="AB27" s="28"/>
    </row>
    <row r="28" spans="1:28" ht="13.8">
      <c r="A28" s="17" t="s">
        <v>80</v>
      </c>
      <c r="B28" s="18" t="s">
        <v>83</v>
      </c>
      <c r="C28" s="19" t="s">
        <v>17</v>
      </c>
      <c r="D28" s="20">
        <v>676</v>
      </c>
      <c r="E28" s="19" t="s">
        <v>21</v>
      </c>
      <c r="F28" s="18"/>
      <c r="G28" s="18"/>
      <c r="H28" s="19" t="s">
        <v>3</v>
      </c>
      <c r="I28" s="21">
        <v>2</v>
      </c>
      <c r="J28" s="22">
        <f t="shared" si="18"/>
        <v>40</v>
      </c>
      <c r="K28" s="22">
        <v>6</v>
      </c>
      <c r="L28" s="22">
        <f t="shared" si="19"/>
        <v>30</v>
      </c>
      <c r="M28" s="22">
        <v>8</v>
      </c>
      <c r="N28" s="23">
        <f t="shared" si="20"/>
        <v>40</v>
      </c>
      <c r="O28" s="22">
        <v>2</v>
      </c>
      <c r="P28" s="23">
        <f t="shared" si="21"/>
        <v>20</v>
      </c>
      <c r="Q28" s="24">
        <f t="shared" si="22"/>
        <v>0.3</v>
      </c>
      <c r="R28" s="25">
        <v>32.5</v>
      </c>
      <c r="S28" s="26" t="str">
        <f t="shared" si="23"/>
        <v>Your end-of-term exam marks are: Speaking 40%, Listening 30%, Reading 40%, and Writing 20%</v>
      </c>
      <c r="T28" s="27">
        <v>58.93</v>
      </c>
      <c r="U28" s="27">
        <v>58.93</v>
      </c>
      <c r="V28" s="29" cm="1">
        <f t="array" ref="V28">_xlfn.IFS(U28&gt;=80, 4, U28&gt;=75, 3.5, U28&gt;=70, 3, U28&gt;=65, 2.5, U28&gt;=60, 2, U28&gt;=55, 1.5, U28&gt;=50, 1, U28&lt;50, 0)</f>
        <v>1.5</v>
      </c>
      <c r="W28" s="28">
        <v>50.32</v>
      </c>
      <c r="X28" s="29" cm="1">
        <f t="array" ref="X28">_xlfn.IFS(W28&gt;=80, 4, W28&gt;=75, 3.5, W28&gt;=70, 3, W28&gt;=65, 2.5, W28&gt;=60, 2, W28&gt;=55, 1.5, W28&gt;=50, 1, W28&lt;50, 0)</f>
        <v>1</v>
      </c>
      <c r="Y28" s="28" t="str">
        <f t="shared" si="16"/>
        <v>Declined</v>
      </c>
      <c r="Z28" s="28" t="str">
        <f t="shared" si="17"/>
        <v>Declined</v>
      </c>
      <c r="AA28" s="28"/>
      <c r="AB28" s="28"/>
    </row>
    <row r="29" spans="1:28" ht="13.8">
      <c r="A29" s="32"/>
      <c r="B29" s="32" t="s">
        <v>83</v>
      </c>
      <c r="C29" s="32"/>
      <c r="D29" s="33"/>
      <c r="E29" s="32" t="s">
        <v>82</v>
      </c>
      <c r="F29" s="32"/>
      <c r="G29" s="32"/>
      <c r="H29" s="34"/>
      <c r="I29" s="35">
        <f t="shared" ref="I29:Q29" si="24">AVERAGE(I16:I28)</f>
        <v>3.2916666666666665</v>
      </c>
      <c r="J29" s="35">
        <f t="shared" si="24"/>
        <v>65.833333333333329</v>
      </c>
      <c r="K29" s="35">
        <f t="shared" si="24"/>
        <v>9.8333333333333339</v>
      </c>
      <c r="L29" s="35">
        <f t="shared" si="24"/>
        <v>49.166666666666664</v>
      </c>
      <c r="M29" s="35">
        <f t="shared" si="24"/>
        <v>10.458333333333334</v>
      </c>
      <c r="N29" s="35">
        <f t="shared" si="24"/>
        <v>52.291666666666664</v>
      </c>
      <c r="O29" s="35">
        <f t="shared" si="24"/>
        <v>6</v>
      </c>
      <c r="P29" s="35">
        <f t="shared" si="24"/>
        <v>60</v>
      </c>
      <c r="Q29" s="36">
        <f t="shared" si="24"/>
        <v>0.49305555555555552</v>
      </c>
      <c r="R29" s="36"/>
      <c r="S29" s="36"/>
      <c r="T29" s="36"/>
      <c r="U29" s="39">
        <f t="shared" ref="U29" si="25">AVERAGE(U16:U28)</f>
        <v>63.914166666666659</v>
      </c>
      <c r="V29" s="39">
        <f>AVERAGE(V16:V28)</f>
        <v>2.1153846153846154</v>
      </c>
      <c r="W29" s="40"/>
      <c r="X29" s="39">
        <f>AVERAGE(X16:X28)</f>
        <v>2.0769230769230771</v>
      </c>
      <c r="Y29" s="36"/>
      <c r="Z29" s="36"/>
      <c r="AA29" s="28"/>
      <c r="AB29" s="28"/>
    </row>
    <row r="30" spans="1:28" ht="13.8">
      <c r="A30" s="17" t="s">
        <v>80</v>
      </c>
      <c r="B30" s="18" t="s">
        <v>84</v>
      </c>
      <c r="C30" s="19" t="s">
        <v>30</v>
      </c>
      <c r="D30" s="20">
        <v>481</v>
      </c>
      <c r="E30" s="19" t="s">
        <v>40</v>
      </c>
      <c r="F30" s="18"/>
      <c r="G30" s="18"/>
      <c r="H30" s="19" t="s">
        <v>3</v>
      </c>
      <c r="I30" s="21">
        <v>3.5</v>
      </c>
      <c r="J30" s="22">
        <f t="shared" ref="J30:J41" si="26">(I30/5)*100</f>
        <v>70</v>
      </c>
      <c r="K30" s="22">
        <v>16</v>
      </c>
      <c r="L30" s="22">
        <f t="shared" ref="L30:L41" si="27">(K30/20)*100</f>
        <v>80</v>
      </c>
      <c r="M30" s="22">
        <v>12</v>
      </c>
      <c r="N30" s="23">
        <f t="shared" ref="N30:N41" si="28">(M30/20)*100</f>
        <v>60</v>
      </c>
      <c r="O30" s="22">
        <v>9</v>
      </c>
      <c r="P30" s="23">
        <f t="shared" ref="P30:P41" si="29">(O30/10)*100</f>
        <v>90</v>
      </c>
      <c r="Q30" s="24">
        <f t="shared" ref="Q30:Q41" si="30">(SUM(I30,K30,M30,O30)/60)</f>
        <v>0.67500000000000004</v>
      </c>
      <c r="R30" s="25">
        <v>75</v>
      </c>
      <c r="S30" s="26" t="str">
        <f t="shared" ref="S30:S41" si="31">CONCATENATE("Your end-of-term exam marks are: Speaking ", J30, "%, Listening ", L30, "%, Reading ", N30, "%, and Writing ", P30, "%")</f>
        <v>Your end-of-term exam marks are: Speaking 70%, Listening 80%, Reading 60%, and Writing 90%</v>
      </c>
      <c r="T30" s="27">
        <v>89.47</v>
      </c>
      <c r="U30" s="27">
        <v>89.47</v>
      </c>
      <c r="V30" s="29" cm="1">
        <f t="array" ref="V30">_xlfn.IFS(U30&gt;=80, 4, U30&gt;=75, 3.5, U30&gt;=70, 3, U30&gt;=65, 2.5, U30&gt;=60, 2, U30&gt;=55, 1.5, U30&gt;=50, 1, U30&lt;50, 0)</f>
        <v>4</v>
      </c>
      <c r="W30" s="28">
        <v>79.83</v>
      </c>
      <c r="X30" s="29" cm="1">
        <f t="array" ref="X30">_xlfn.IFS(W30&gt;=80, 4, W30&gt;=75, 3.5, W30&gt;=70, 3, W30&gt;=65, 2.5, W30&gt;=60, 2, W30&gt;=55, 1.5, W30&gt;=50, 1, W30&lt;50, 0)</f>
        <v>3.5</v>
      </c>
      <c r="Y30" s="28" t="str">
        <f t="shared" ref="Y30:Y41" si="32">IF(OR(U30="", W30=""), "New Student", IF(W30-U30 &gt;= 2, "Improved", IF(U30-W30 &gt;= 2, "Declined", "Same")))</f>
        <v>Declined</v>
      </c>
      <c r="Z30" s="28" t="str">
        <f t="shared" ref="Z30:Z41" si="33">IF(OR(V30="", X30=""), "New Student", IF(X30-V30 &gt;= 0.5, "Improved", IF(V30-X30 &gt;= 0.5, "Declined", "Same")))</f>
        <v>Declined</v>
      </c>
      <c r="AA30" s="28"/>
      <c r="AB30" s="28"/>
    </row>
    <row r="31" spans="1:28" ht="13.8">
      <c r="A31" s="17" t="s">
        <v>80</v>
      </c>
      <c r="B31" s="18" t="s">
        <v>84</v>
      </c>
      <c r="C31" s="19" t="s">
        <v>30</v>
      </c>
      <c r="D31" s="20">
        <v>545</v>
      </c>
      <c r="E31" s="19" t="s">
        <v>41</v>
      </c>
      <c r="F31" s="18"/>
      <c r="G31" s="18"/>
      <c r="H31" s="19" t="s">
        <v>3</v>
      </c>
      <c r="I31" s="21">
        <v>3.5</v>
      </c>
      <c r="J31" s="22">
        <f t="shared" si="26"/>
        <v>70</v>
      </c>
      <c r="K31" s="22">
        <v>11</v>
      </c>
      <c r="L31" s="22">
        <f t="shared" si="27"/>
        <v>55.000000000000007</v>
      </c>
      <c r="M31" s="22">
        <v>9</v>
      </c>
      <c r="N31" s="23">
        <f t="shared" si="28"/>
        <v>45</v>
      </c>
      <c r="O31" s="22">
        <v>9</v>
      </c>
      <c r="P31" s="23">
        <f t="shared" si="29"/>
        <v>90</v>
      </c>
      <c r="Q31" s="24">
        <f t="shared" si="30"/>
        <v>0.54166666666666663</v>
      </c>
      <c r="R31" s="25">
        <v>65</v>
      </c>
      <c r="S31" s="26" t="str">
        <f t="shared" si="31"/>
        <v>Your end-of-term exam marks are: Speaking 70%, Listening 55%, Reading 45%, and Writing 90%</v>
      </c>
      <c r="T31" s="31">
        <v>73.680000000000007</v>
      </c>
      <c r="U31" s="31">
        <v>73</v>
      </c>
      <c r="V31" s="29" cm="1">
        <f t="array" ref="V31">_xlfn.IFS(U31&gt;=80, 4, U31&gt;=75, 3.5, U31&gt;=70, 3, U31&gt;=65, 2.5, U31&gt;=60, 2, U31&gt;=55, 1.5, U31&gt;=50, 1, U31&lt;50, 0)</f>
        <v>3</v>
      </c>
      <c r="W31" s="28">
        <v>80.44</v>
      </c>
      <c r="X31" s="29" cm="1">
        <f t="array" ref="X31">_xlfn.IFS(W31&gt;=80, 4, W31&gt;=75, 3.5, W31&gt;=70, 3, W31&gt;=65, 2.5, W31&gt;=60, 2, W31&gt;=55, 1.5, W31&gt;=50, 1, W31&lt;50, 0)</f>
        <v>4</v>
      </c>
      <c r="Y31" s="28" t="str">
        <f t="shared" si="32"/>
        <v>Improved</v>
      </c>
      <c r="Z31" s="28" t="str">
        <f t="shared" si="33"/>
        <v>Improved</v>
      </c>
      <c r="AA31" s="28"/>
      <c r="AB31" s="28"/>
    </row>
    <row r="32" spans="1:28" ht="13.8">
      <c r="A32" s="17" t="s">
        <v>80</v>
      </c>
      <c r="B32" s="18" t="s">
        <v>84</v>
      </c>
      <c r="C32" s="19" t="s">
        <v>30</v>
      </c>
      <c r="D32" s="20">
        <v>391</v>
      </c>
      <c r="E32" s="19" t="s">
        <v>37</v>
      </c>
      <c r="F32" s="18"/>
      <c r="G32" s="18"/>
      <c r="H32" s="19" t="s">
        <v>3</v>
      </c>
      <c r="I32" s="21">
        <v>4</v>
      </c>
      <c r="J32" s="22">
        <f t="shared" si="26"/>
        <v>80</v>
      </c>
      <c r="K32" s="22">
        <v>13</v>
      </c>
      <c r="L32" s="22">
        <f t="shared" si="27"/>
        <v>65</v>
      </c>
      <c r="M32" s="22">
        <v>12</v>
      </c>
      <c r="N32" s="23">
        <f t="shared" si="28"/>
        <v>60</v>
      </c>
      <c r="O32" s="22">
        <v>10</v>
      </c>
      <c r="P32" s="23">
        <f t="shared" si="29"/>
        <v>100</v>
      </c>
      <c r="Q32" s="24">
        <f t="shared" si="30"/>
        <v>0.65</v>
      </c>
      <c r="R32" s="25">
        <v>76.25</v>
      </c>
      <c r="S32" s="26" t="str">
        <f t="shared" si="31"/>
        <v>Your end-of-term exam marks are: Speaking 80%, Listening 65%, Reading 60%, and Writing 100%</v>
      </c>
      <c r="T32" s="31">
        <v>89.93</v>
      </c>
      <c r="U32" s="31">
        <v>90</v>
      </c>
      <c r="V32" s="29" cm="1">
        <f t="array" ref="V32">_xlfn.IFS(U32&gt;=80, 4, U32&gt;=75, 3.5, U32&gt;=70, 3, U32&gt;=65, 2.5, U32&gt;=60, 2, U32&gt;=55, 1.5, U32&gt;=50, 1, U32&lt;50, 0)</f>
        <v>4</v>
      </c>
      <c r="W32" s="28">
        <v>86.42</v>
      </c>
      <c r="X32" s="29" cm="1">
        <f t="array" ref="X32">_xlfn.IFS(W32&gt;=80, 4, W32&gt;=75, 3.5, W32&gt;=70, 3, W32&gt;=65, 2.5, W32&gt;=60, 2, W32&gt;=55, 1.5, W32&gt;=50, 1, W32&lt;50, 0)</f>
        <v>4</v>
      </c>
      <c r="Y32" s="28" t="str">
        <f t="shared" si="32"/>
        <v>Declined</v>
      </c>
      <c r="Z32" s="28" t="str">
        <f t="shared" si="33"/>
        <v>Same</v>
      </c>
      <c r="AA32" s="28"/>
      <c r="AB32" s="28"/>
    </row>
    <row r="33" spans="1:28" ht="13.8">
      <c r="A33" s="17" t="s">
        <v>80</v>
      </c>
      <c r="B33" s="18" t="s">
        <v>84</v>
      </c>
      <c r="C33" s="19" t="s">
        <v>30</v>
      </c>
      <c r="D33" s="20">
        <v>384</v>
      </c>
      <c r="E33" s="19" t="s">
        <v>38</v>
      </c>
      <c r="F33" s="18"/>
      <c r="G33" s="18"/>
      <c r="H33" s="19" t="s">
        <v>3</v>
      </c>
      <c r="I33" s="21">
        <v>3</v>
      </c>
      <c r="J33" s="22">
        <f t="shared" si="26"/>
        <v>60</v>
      </c>
      <c r="K33" s="22">
        <v>10</v>
      </c>
      <c r="L33" s="22">
        <f t="shared" si="27"/>
        <v>50</v>
      </c>
      <c r="M33" s="22">
        <v>9</v>
      </c>
      <c r="N33" s="23">
        <f t="shared" si="28"/>
        <v>45</v>
      </c>
      <c r="O33" s="22">
        <v>7</v>
      </c>
      <c r="P33" s="23">
        <f t="shared" si="29"/>
        <v>70</v>
      </c>
      <c r="Q33" s="24">
        <f t="shared" si="30"/>
        <v>0.48333333333333334</v>
      </c>
      <c r="R33" s="25">
        <v>56.25</v>
      </c>
      <c r="S33" s="26" t="str">
        <f t="shared" si="31"/>
        <v>Your end-of-term exam marks are: Speaking 60%, Listening 50%, Reading 45%, and Writing 70%</v>
      </c>
      <c r="T33" s="31">
        <v>79.540000000000006</v>
      </c>
      <c r="U33" s="31">
        <v>79</v>
      </c>
      <c r="V33" s="29" cm="1">
        <f t="array" ref="V33">_xlfn.IFS(U33&gt;=80, 4, U33&gt;=75, 3.5, U33&gt;=70, 3, U33&gt;=65, 2.5, U33&gt;=60, 2, U33&gt;=55, 1.5, U33&gt;=50, 1, U33&lt;50, 0)</f>
        <v>3.5</v>
      </c>
      <c r="W33" s="28">
        <v>73.5</v>
      </c>
      <c r="X33" s="29" cm="1">
        <f t="array" ref="X33">_xlfn.IFS(W33&gt;=80, 4, W33&gt;=75, 3.5, W33&gt;=70, 3, W33&gt;=65, 2.5, W33&gt;=60, 2, W33&gt;=55, 1.5, W33&gt;=50, 1, W33&lt;50, 0)</f>
        <v>3</v>
      </c>
      <c r="Y33" s="28" t="str">
        <f t="shared" si="32"/>
        <v>Declined</v>
      </c>
      <c r="Z33" s="28" t="str">
        <f t="shared" si="33"/>
        <v>Declined</v>
      </c>
      <c r="AA33" s="28"/>
      <c r="AB33" s="28"/>
    </row>
    <row r="34" spans="1:28" ht="13.8">
      <c r="A34" s="17" t="s">
        <v>80</v>
      </c>
      <c r="B34" s="18" t="s">
        <v>84</v>
      </c>
      <c r="C34" s="19" t="s">
        <v>30</v>
      </c>
      <c r="D34" s="20">
        <v>1041</v>
      </c>
      <c r="E34" s="19" t="s">
        <v>34</v>
      </c>
      <c r="F34" s="18"/>
      <c r="G34" s="18"/>
      <c r="H34" s="19" t="s">
        <v>3</v>
      </c>
      <c r="I34" s="21">
        <v>3</v>
      </c>
      <c r="J34" s="22">
        <f t="shared" si="26"/>
        <v>60</v>
      </c>
      <c r="K34" s="22">
        <v>11</v>
      </c>
      <c r="L34" s="22">
        <f t="shared" si="27"/>
        <v>55.000000000000007</v>
      </c>
      <c r="M34" s="22">
        <v>9</v>
      </c>
      <c r="N34" s="23">
        <f t="shared" si="28"/>
        <v>45</v>
      </c>
      <c r="O34" s="22">
        <v>8</v>
      </c>
      <c r="P34" s="23">
        <f t="shared" si="29"/>
        <v>80</v>
      </c>
      <c r="Q34" s="24">
        <f t="shared" si="30"/>
        <v>0.51666666666666672</v>
      </c>
      <c r="R34" s="25">
        <v>60</v>
      </c>
      <c r="S34" s="26" t="str">
        <f t="shared" si="31"/>
        <v>Your end-of-term exam marks are: Speaking 60%, Listening 55%, Reading 45%, and Writing 80%</v>
      </c>
      <c r="T34" s="27">
        <v>79.959999999999994</v>
      </c>
      <c r="U34" s="27">
        <v>79.959999999999994</v>
      </c>
      <c r="V34" s="29" cm="1">
        <f t="array" ref="V34">_xlfn.IFS(U34&gt;=80, 4, U34&gt;=75, 3.5, U34&gt;=70, 3, U34&gt;=65, 2.5, U34&gt;=60, 2, U34&gt;=55, 1.5, U34&gt;=50, 1, U34&lt;50, 0)</f>
        <v>3.5</v>
      </c>
      <c r="W34" s="28">
        <v>78.91</v>
      </c>
      <c r="X34" s="29" cm="1">
        <f t="array" ref="X34">_xlfn.IFS(W34&gt;=80, 4, W34&gt;=75, 3.5, W34&gt;=70, 3, W34&gt;=65, 2.5, W34&gt;=60, 2, W34&gt;=55, 1.5, W34&gt;=50, 1, W34&lt;50, 0)</f>
        <v>3.5</v>
      </c>
      <c r="Y34" s="28" t="str">
        <f t="shared" si="32"/>
        <v>Same</v>
      </c>
      <c r="Z34" s="28" t="str">
        <f t="shared" si="33"/>
        <v>Same</v>
      </c>
      <c r="AA34" s="28"/>
      <c r="AB34" s="28"/>
    </row>
    <row r="35" spans="1:28" ht="13.8">
      <c r="A35" s="17" t="s">
        <v>80</v>
      </c>
      <c r="B35" s="18" t="s">
        <v>84</v>
      </c>
      <c r="C35" s="19" t="s">
        <v>30</v>
      </c>
      <c r="D35" s="20">
        <v>550</v>
      </c>
      <c r="E35" s="19" t="s">
        <v>35</v>
      </c>
      <c r="F35" s="18"/>
      <c r="G35" s="18"/>
      <c r="H35" s="19" t="s">
        <v>3</v>
      </c>
      <c r="I35" s="21">
        <v>4</v>
      </c>
      <c r="J35" s="22">
        <f t="shared" si="26"/>
        <v>80</v>
      </c>
      <c r="K35" s="22">
        <v>16</v>
      </c>
      <c r="L35" s="22">
        <f t="shared" si="27"/>
        <v>80</v>
      </c>
      <c r="M35" s="22">
        <v>16</v>
      </c>
      <c r="N35" s="23">
        <f t="shared" si="28"/>
        <v>80</v>
      </c>
      <c r="O35" s="22">
        <v>10</v>
      </c>
      <c r="P35" s="23">
        <f t="shared" si="29"/>
        <v>100</v>
      </c>
      <c r="Q35" s="24">
        <f t="shared" si="30"/>
        <v>0.76666666666666672</v>
      </c>
      <c r="R35" s="25">
        <v>85</v>
      </c>
      <c r="S35" s="26" t="str">
        <f t="shared" si="31"/>
        <v>Your end-of-term exam marks are: Speaking 80%, Listening 80%, Reading 80%, and Writing 100%</v>
      </c>
      <c r="T35" s="31">
        <v>68.64</v>
      </c>
      <c r="U35" s="31">
        <v>70</v>
      </c>
      <c r="V35" s="29" cm="1">
        <f t="array" ref="V35">_xlfn.IFS(U35&gt;=80, 4, U35&gt;=75, 3.5, U35&gt;=70, 3, U35&gt;=65, 2.5, U35&gt;=60, 2, U35&gt;=55, 1.5, U35&gt;=50, 1, U35&lt;50, 0)</f>
        <v>3</v>
      </c>
      <c r="W35" s="28">
        <v>80</v>
      </c>
      <c r="X35" s="29" cm="1">
        <f t="array" ref="X35">_xlfn.IFS(W35&gt;=80, 4, W35&gt;=75, 3.5, W35&gt;=70, 3, W35&gt;=65, 2.5, W35&gt;=60, 2, W35&gt;=55, 1.5, W35&gt;=50, 1, W35&lt;50, 0)</f>
        <v>4</v>
      </c>
      <c r="Y35" s="28" t="str">
        <f t="shared" si="32"/>
        <v>Improved</v>
      </c>
      <c r="Z35" s="28" t="str">
        <f t="shared" si="33"/>
        <v>Improved</v>
      </c>
      <c r="AA35" s="28"/>
      <c r="AB35" s="28"/>
    </row>
    <row r="36" spans="1:28" ht="13.8">
      <c r="A36" s="17" t="s">
        <v>80</v>
      </c>
      <c r="B36" s="18" t="s">
        <v>84</v>
      </c>
      <c r="C36" s="19" t="s">
        <v>30</v>
      </c>
      <c r="D36" s="20">
        <v>407</v>
      </c>
      <c r="E36" s="19" t="s">
        <v>39</v>
      </c>
      <c r="F36" s="18"/>
      <c r="G36" s="18"/>
      <c r="H36" s="19" t="s">
        <v>3</v>
      </c>
      <c r="I36" s="21">
        <v>3.5</v>
      </c>
      <c r="J36" s="22">
        <f t="shared" si="26"/>
        <v>70</v>
      </c>
      <c r="K36" s="22">
        <v>16</v>
      </c>
      <c r="L36" s="22">
        <f t="shared" si="27"/>
        <v>80</v>
      </c>
      <c r="M36" s="22">
        <v>13</v>
      </c>
      <c r="N36" s="23">
        <f t="shared" si="28"/>
        <v>65</v>
      </c>
      <c r="O36" s="22">
        <v>10</v>
      </c>
      <c r="P36" s="23">
        <f t="shared" si="29"/>
        <v>100</v>
      </c>
      <c r="Q36" s="24">
        <f t="shared" si="30"/>
        <v>0.70833333333333337</v>
      </c>
      <c r="R36" s="25">
        <v>78.75</v>
      </c>
      <c r="S36" s="26" t="str">
        <f t="shared" si="31"/>
        <v>Your end-of-term exam marks are: Speaking 70%, Listening 80%, Reading 65%, and Writing 100%</v>
      </c>
      <c r="T36" s="27">
        <v>88.05</v>
      </c>
      <c r="U36" s="27">
        <v>88.05</v>
      </c>
      <c r="V36" s="29" cm="1">
        <f t="array" ref="V36">_xlfn.IFS(U36&gt;=80, 4, U36&gt;=75, 3.5, U36&gt;=70, 3, U36&gt;=65, 2.5, U36&gt;=60, 2, U36&gt;=55, 1.5, U36&gt;=50, 1, U36&lt;50, 0)</f>
        <v>4</v>
      </c>
      <c r="W36" s="28">
        <v>84.92</v>
      </c>
      <c r="X36" s="29" cm="1">
        <f t="array" ref="X36">_xlfn.IFS(W36&gt;=80, 4, W36&gt;=75, 3.5, W36&gt;=70, 3, W36&gt;=65, 2.5, W36&gt;=60, 2, W36&gt;=55, 1.5, W36&gt;=50, 1, W36&lt;50, 0)</f>
        <v>4</v>
      </c>
      <c r="Y36" s="28" t="str">
        <f t="shared" si="32"/>
        <v>Declined</v>
      </c>
      <c r="Z36" s="28" t="str">
        <f t="shared" si="33"/>
        <v>Same</v>
      </c>
      <c r="AA36" s="28"/>
      <c r="AB36" s="28"/>
    </row>
    <row r="37" spans="1:28" ht="13.8">
      <c r="A37" s="17" t="s">
        <v>80</v>
      </c>
      <c r="B37" s="18" t="s">
        <v>84</v>
      </c>
      <c r="C37" s="19" t="s">
        <v>30</v>
      </c>
      <c r="D37" s="20">
        <v>460</v>
      </c>
      <c r="E37" s="19" t="s">
        <v>31</v>
      </c>
      <c r="F37" s="18"/>
      <c r="G37" s="18"/>
      <c r="H37" s="19" t="s">
        <v>3</v>
      </c>
      <c r="I37" s="21">
        <v>3</v>
      </c>
      <c r="J37" s="22">
        <f t="shared" si="26"/>
        <v>60</v>
      </c>
      <c r="K37" s="22">
        <v>19</v>
      </c>
      <c r="L37" s="22">
        <f t="shared" si="27"/>
        <v>95</v>
      </c>
      <c r="M37" s="22">
        <v>15.5</v>
      </c>
      <c r="N37" s="23">
        <f t="shared" si="28"/>
        <v>77.5</v>
      </c>
      <c r="O37" s="22">
        <v>9</v>
      </c>
      <c r="P37" s="23">
        <f t="shared" si="29"/>
        <v>90</v>
      </c>
      <c r="Q37" s="24">
        <f t="shared" si="30"/>
        <v>0.77500000000000002</v>
      </c>
      <c r="R37" s="25">
        <v>80.625</v>
      </c>
      <c r="S37" s="26" t="str">
        <f t="shared" si="31"/>
        <v>Your end-of-term exam marks are: Speaking 60%, Listening 95%, Reading 77.5%, and Writing 90%</v>
      </c>
      <c r="T37" s="27">
        <v>88.89</v>
      </c>
      <c r="U37" s="27">
        <v>88.89</v>
      </c>
      <c r="V37" s="29" cm="1">
        <f t="array" ref="V37">_xlfn.IFS(U37&gt;=80, 4, U37&gt;=75, 3.5, U37&gt;=70, 3, U37&gt;=65, 2.5, U37&gt;=60, 2, U37&gt;=55, 1.5, U37&gt;=50, 1, U37&lt;50, 0)</f>
        <v>4</v>
      </c>
      <c r="W37" s="28">
        <v>78.13</v>
      </c>
      <c r="X37" s="29" cm="1">
        <f t="array" ref="X37">_xlfn.IFS(W37&gt;=80, 4, W37&gt;=75, 3.5, W37&gt;=70, 3, W37&gt;=65, 2.5, W37&gt;=60, 2, W37&gt;=55, 1.5, W37&gt;=50, 1, W37&lt;50, 0)</f>
        <v>3.5</v>
      </c>
      <c r="Y37" s="28" t="str">
        <f t="shared" si="32"/>
        <v>Declined</v>
      </c>
      <c r="Z37" s="28" t="str">
        <f t="shared" si="33"/>
        <v>Declined</v>
      </c>
      <c r="AA37" s="28"/>
      <c r="AB37" s="28"/>
    </row>
    <row r="38" spans="1:28" ht="13.8">
      <c r="A38" s="17" t="s">
        <v>80</v>
      </c>
      <c r="B38" s="18" t="s">
        <v>84</v>
      </c>
      <c r="C38" s="19" t="s">
        <v>30</v>
      </c>
      <c r="D38" s="20">
        <v>789</v>
      </c>
      <c r="E38" s="19" t="s">
        <v>42</v>
      </c>
      <c r="F38" s="18"/>
      <c r="G38" s="18"/>
      <c r="H38" s="19" t="s">
        <v>3</v>
      </c>
      <c r="I38" s="21">
        <v>3</v>
      </c>
      <c r="J38" s="22">
        <f t="shared" si="26"/>
        <v>60</v>
      </c>
      <c r="K38" s="22">
        <v>19</v>
      </c>
      <c r="L38" s="22">
        <f t="shared" si="27"/>
        <v>95</v>
      </c>
      <c r="M38" s="22">
        <v>15</v>
      </c>
      <c r="N38" s="23">
        <f t="shared" si="28"/>
        <v>75</v>
      </c>
      <c r="O38" s="22">
        <v>10</v>
      </c>
      <c r="P38" s="23">
        <f t="shared" si="29"/>
        <v>100</v>
      </c>
      <c r="Q38" s="24">
        <f t="shared" si="30"/>
        <v>0.78333333333333333</v>
      </c>
      <c r="R38" s="25">
        <v>82.5</v>
      </c>
      <c r="S38" s="26" t="str">
        <f t="shared" si="31"/>
        <v>Your end-of-term exam marks are: Speaking 60%, Listening 95%, Reading 75%, and Writing 100%</v>
      </c>
      <c r="T38" s="27">
        <v>86.89</v>
      </c>
      <c r="U38" s="27">
        <v>86.89</v>
      </c>
      <c r="V38" s="29" cm="1">
        <f t="array" ref="V38">_xlfn.IFS(U38&gt;=80, 4, U38&gt;=75, 3.5, U38&gt;=70, 3, U38&gt;=65, 2.5, U38&gt;=60, 2, U38&gt;=55, 1.5, U38&gt;=50, 1, U38&lt;50, 0)</f>
        <v>4</v>
      </c>
      <c r="W38" s="28">
        <v>62.23</v>
      </c>
      <c r="X38" s="29" cm="1">
        <f t="array" ref="X38">_xlfn.IFS(W38&gt;=80, 4, W38&gt;=75, 3.5, W38&gt;=70, 3, W38&gt;=65, 2.5, W38&gt;=60, 2, W38&gt;=55, 1.5, W38&gt;=50, 1, W38&lt;50, 0)</f>
        <v>2</v>
      </c>
      <c r="Y38" s="28" t="str">
        <f t="shared" si="32"/>
        <v>Declined</v>
      </c>
      <c r="Z38" s="28" t="str">
        <f t="shared" si="33"/>
        <v>Declined</v>
      </c>
      <c r="AA38" s="28"/>
      <c r="AB38" s="28"/>
    </row>
    <row r="39" spans="1:28" ht="13.8">
      <c r="A39" s="17" t="s">
        <v>80</v>
      </c>
      <c r="B39" s="18" t="s">
        <v>84</v>
      </c>
      <c r="C39" s="19" t="s">
        <v>30</v>
      </c>
      <c r="D39" s="20">
        <v>1034</v>
      </c>
      <c r="E39" s="19" t="s">
        <v>33</v>
      </c>
      <c r="F39" s="18"/>
      <c r="G39" s="18"/>
      <c r="H39" s="19" t="s">
        <v>3</v>
      </c>
      <c r="I39" s="21">
        <v>2.5</v>
      </c>
      <c r="J39" s="22">
        <f t="shared" si="26"/>
        <v>50</v>
      </c>
      <c r="K39" s="22">
        <v>13</v>
      </c>
      <c r="L39" s="22">
        <f t="shared" si="27"/>
        <v>65</v>
      </c>
      <c r="M39" s="22">
        <v>13</v>
      </c>
      <c r="N39" s="23">
        <f t="shared" si="28"/>
        <v>65</v>
      </c>
      <c r="O39" s="22">
        <v>7</v>
      </c>
      <c r="P39" s="23">
        <f t="shared" si="29"/>
        <v>70</v>
      </c>
      <c r="Q39" s="24">
        <f t="shared" si="30"/>
        <v>0.59166666666666667</v>
      </c>
      <c r="R39" s="25">
        <v>62.5</v>
      </c>
      <c r="S39" s="26" t="str">
        <f t="shared" si="31"/>
        <v>Your end-of-term exam marks are: Speaking 50%, Listening 65%, Reading 65%, and Writing 70%</v>
      </c>
      <c r="T39" s="27">
        <v>59.17</v>
      </c>
      <c r="U39" s="27">
        <v>59.17</v>
      </c>
      <c r="V39" s="29" cm="1">
        <f t="array" ref="V39">_xlfn.IFS(U39&gt;=80, 4, U39&gt;=75, 3.5, U39&gt;=70, 3, U39&gt;=65, 2.5, U39&gt;=60, 2, U39&gt;=55, 1.5, U39&gt;=50, 1, U39&lt;50, 0)</f>
        <v>1.5</v>
      </c>
      <c r="W39" s="28">
        <v>38.479999999999997</v>
      </c>
      <c r="X39" s="29" cm="1">
        <f t="array" ref="X39">_xlfn.IFS(W39&gt;=80, 4, W39&gt;=75, 3.5, W39&gt;=70, 3, W39&gt;=65, 2.5, W39&gt;=60, 2, W39&gt;=55, 1.5, W39&gt;=50, 1, W39&lt;50, 0)</f>
        <v>0</v>
      </c>
      <c r="Y39" s="28" t="str">
        <f t="shared" si="32"/>
        <v>Declined</v>
      </c>
      <c r="Z39" s="28" t="str">
        <f t="shared" si="33"/>
        <v>Declined</v>
      </c>
      <c r="AA39" s="28"/>
      <c r="AB39" s="28"/>
    </row>
    <row r="40" spans="1:28" ht="13.8">
      <c r="A40" s="17" t="s">
        <v>80</v>
      </c>
      <c r="B40" s="18" t="s">
        <v>84</v>
      </c>
      <c r="C40" s="19" t="s">
        <v>30</v>
      </c>
      <c r="D40" s="20">
        <v>498</v>
      </c>
      <c r="E40" s="19" t="s">
        <v>36</v>
      </c>
      <c r="F40" s="18"/>
      <c r="G40" s="18"/>
      <c r="H40" s="19" t="s">
        <v>3</v>
      </c>
      <c r="I40" s="21">
        <v>4.5</v>
      </c>
      <c r="J40" s="22">
        <f t="shared" si="26"/>
        <v>90</v>
      </c>
      <c r="K40" s="22">
        <v>17</v>
      </c>
      <c r="L40" s="22">
        <f t="shared" si="27"/>
        <v>85</v>
      </c>
      <c r="M40" s="22">
        <v>14</v>
      </c>
      <c r="N40" s="23">
        <f t="shared" si="28"/>
        <v>70</v>
      </c>
      <c r="O40" s="22">
        <v>9</v>
      </c>
      <c r="P40" s="23">
        <f t="shared" si="29"/>
        <v>90</v>
      </c>
      <c r="Q40" s="24">
        <f t="shared" si="30"/>
        <v>0.7416666666666667</v>
      </c>
      <c r="R40" s="25">
        <v>83.75</v>
      </c>
      <c r="S40" s="26" t="str">
        <f t="shared" si="31"/>
        <v>Your end-of-term exam marks are: Speaking 90%, Listening 85%, Reading 70%, and Writing 90%</v>
      </c>
      <c r="T40" s="27">
        <v>92.65</v>
      </c>
      <c r="U40" s="27">
        <v>92.65</v>
      </c>
      <c r="V40" s="29" cm="1">
        <f t="array" ref="V40">_xlfn.IFS(U40&gt;=80, 4, U40&gt;=75, 3.5, U40&gt;=70, 3, U40&gt;=65, 2.5, U40&gt;=60, 2, U40&gt;=55, 1.5, U40&gt;=50, 1, U40&lt;50, 0)</f>
        <v>4</v>
      </c>
      <c r="W40" s="28">
        <v>82.21</v>
      </c>
      <c r="X40" s="29" cm="1">
        <f t="array" ref="X40">_xlfn.IFS(W40&gt;=80, 4, W40&gt;=75, 3.5, W40&gt;=70, 3, W40&gt;=65, 2.5, W40&gt;=60, 2, W40&gt;=55, 1.5, W40&gt;=50, 1, W40&lt;50, 0)</f>
        <v>4</v>
      </c>
      <c r="Y40" s="28" t="str">
        <f t="shared" si="32"/>
        <v>Declined</v>
      </c>
      <c r="Z40" s="28" t="str">
        <f t="shared" si="33"/>
        <v>Same</v>
      </c>
      <c r="AA40" s="28"/>
      <c r="AB40" s="28"/>
    </row>
    <row r="41" spans="1:28" ht="13.8">
      <c r="A41" s="17" t="s">
        <v>80</v>
      </c>
      <c r="B41" s="18" t="s">
        <v>84</v>
      </c>
      <c r="C41" s="19" t="s">
        <v>30</v>
      </c>
      <c r="D41" s="20">
        <v>400</v>
      </c>
      <c r="E41" s="19" t="s">
        <v>32</v>
      </c>
      <c r="F41" s="18"/>
      <c r="G41" s="18"/>
      <c r="H41" s="19" t="s">
        <v>3</v>
      </c>
      <c r="I41" s="21">
        <v>4</v>
      </c>
      <c r="J41" s="22">
        <f t="shared" si="26"/>
        <v>80</v>
      </c>
      <c r="K41" s="22">
        <v>17</v>
      </c>
      <c r="L41" s="22">
        <f t="shared" si="27"/>
        <v>85</v>
      </c>
      <c r="M41" s="22">
        <v>12</v>
      </c>
      <c r="N41" s="23">
        <f t="shared" si="28"/>
        <v>60</v>
      </c>
      <c r="O41" s="22">
        <v>9</v>
      </c>
      <c r="P41" s="23">
        <f t="shared" si="29"/>
        <v>90</v>
      </c>
      <c r="Q41" s="24">
        <f t="shared" si="30"/>
        <v>0.7</v>
      </c>
      <c r="R41" s="25">
        <v>78.75</v>
      </c>
      <c r="S41" s="26" t="str">
        <f t="shared" si="31"/>
        <v>Your end-of-term exam marks are: Speaking 80%, Listening 85%, Reading 60%, and Writing 90%</v>
      </c>
      <c r="T41" s="31">
        <v>68.97</v>
      </c>
      <c r="U41" s="31">
        <v>70</v>
      </c>
      <c r="V41" s="29" cm="1">
        <f t="array" ref="V41">_xlfn.IFS(U41&gt;=80, 4, U41&gt;=75, 3.5, U41&gt;=70, 3, U41&gt;=65, 2.5, U41&gt;=60, 2, U41&gt;=55, 1.5, U41&gt;=50, 1, U41&lt;50, 0)</f>
        <v>3</v>
      </c>
      <c r="W41" s="28">
        <v>75.42</v>
      </c>
      <c r="X41" s="29" cm="1">
        <f t="array" ref="X41">_xlfn.IFS(W41&gt;=80, 4, W41&gt;=75, 3.5, W41&gt;=70, 3, W41&gt;=65, 2.5, W41&gt;=60, 2, W41&gt;=55, 1.5, W41&gt;=50, 1, W41&lt;50, 0)</f>
        <v>3.5</v>
      </c>
      <c r="Y41" s="28" t="str">
        <f t="shared" si="32"/>
        <v>Improved</v>
      </c>
      <c r="Z41" s="28" t="str">
        <f t="shared" si="33"/>
        <v>Improved</v>
      </c>
      <c r="AA41" s="28"/>
      <c r="AB41" s="28"/>
    </row>
    <row r="42" spans="1:28" ht="13.8">
      <c r="A42" s="32"/>
      <c r="B42" s="32" t="s">
        <v>84</v>
      </c>
      <c r="C42" s="32"/>
      <c r="D42" s="33"/>
      <c r="E42" s="32" t="s">
        <v>82</v>
      </c>
      <c r="F42" s="32"/>
      <c r="G42" s="32"/>
      <c r="H42" s="34"/>
      <c r="I42" s="35">
        <f t="shared" ref="I42:Q42" si="34">AVERAGE(I30:I41)</f>
        <v>3.4583333333333335</v>
      </c>
      <c r="J42" s="35">
        <f t="shared" si="34"/>
        <v>69.166666666666671</v>
      </c>
      <c r="K42" s="35">
        <f t="shared" si="34"/>
        <v>14.833333333333334</v>
      </c>
      <c r="L42" s="35">
        <f t="shared" si="34"/>
        <v>74.166666666666671</v>
      </c>
      <c r="M42" s="35">
        <f t="shared" si="34"/>
        <v>12.458333333333334</v>
      </c>
      <c r="N42" s="35">
        <f t="shared" si="34"/>
        <v>62.291666666666664</v>
      </c>
      <c r="O42" s="35">
        <f t="shared" si="34"/>
        <v>8.9166666666666661</v>
      </c>
      <c r="P42" s="35">
        <f t="shared" si="34"/>
        <v>89.166666666666671</v>
      </c>
      <c r="Q42" s="36">
        <f t="shared" si="34"/>
        <v>0.6611111111111112</v>
      </c>
      <c r="R42" s="36"/>
      <c r="S42" s="36"/>
      <c r="T42" s="36"/>
      <c r="U42" s="39">
        <f t="shared" ref="U42" si="35">AVERAGE(U30:U41)</f>
        <v>80.589999999999989</v>
      </c>
      <c r="V42" s="39">
        <f>AVERAGE(V30:V41)</f>
        <v>3.4583333333333335</v>
      </c>
      <c r="W42" s="42"/>
      <c r="X42" s="39">
        <f>AVERAGE(X30:X41)</f>
        <v>3.25</v>
      </c>
      <c r="Y42" s="36"/>
      <c r="Z42" s="36"/>
      <c r="AA42" s="28"/>
      <c r="AB42" s="28"/>
    </row>
    <row r="43" spans="1:28" ht="13.8">
      <c r="A43" s="21" t="s">
        <v>85</v>
      </c>
      <c r="B43" s="21" t="s">
        <v>86</v>
      </c>
      <c r="C43" s="18"/>
      <c r="D43" s="20">
        <v>83</v>
      </c>
      <c r="E43" s="18"/>
      <c r="F43" s="18"/>
      <c r="G43" s="18"/>
      <c r="H43" s="19" t="s">
        <v>3</v>
      </c>
      <c r="I43" s="21">
        <v>4</v>
      </c>
      <c r="J43" s="22">
        <f t="shared" ref="J43:J53" si="36">(I43/5)*100</f>
        <v>80</v>
      </c>
      <c r="K43" s="22">
        <v>31</v>
      </c>
      <c r="L43" s="22">
        <f t="shared" ref="L43:L53" si="37">(K43/40)*100</f>
        <v>77.5</v>
      </c>
      <c r="M43" s="22">
        <v>8</v>
      </c>
      <c r="N43" s="23">
        <f t="shared" ref="N43:N53" si="38">(M43/17)*100</f>
        <v>47.058823529411761</v>
      </c>
      <c r="O43" s="22">
        <v>9.5</v>
      </c>
      <c r="P43" s="23">
        <f t="shared" ref="P43:P53" si="39">(O43/13)*100</f>
        <v>73.076923076923066</v>
      </c>
      <c r="Q43" s="24">
        <f t="shared" ref="Q43:Q53" si="40">(SUM(I43,K43,M43,O43)/75)</f>
        <v>0.7</v>
      </c>
      <c r="R43" s="25">
        <v>69.408936650000001</v>
      </c>
      <c r="S43" s="26" t="str">
        <f t="shared" ref="S43:S53" si="41">CONCATENATE("Your end-of-term exam marks are: Speaking ", J43, "%, Listening ", ROUND(L43, 2), "%, Reading ", ROUND(N43, 2), "%, and Writing ", ROUND(P43, 2), "%")</f>
        <v>Your end-of-term exam marks are: Speaking 80%, Listening 77.5%, Reading 47.06%, and Writing 73.08%</v>
      </c>
      <c r="T43" s="31">
        <v>74.28</v>
      </c>
      <c r="U43" s="31">
        <v>75</v>
      </c>
      <c r="V43" s="29" cm="1">
        <f t="array" ref="V43">_xlfn.IFS(U43&gt;=80, 4, U43&gt;=75, 3.5, U43&gt;=70, 3, U43&gt;=65, 2.5, U43&gt;=60, 2, U43&gt;=55, 1.5, U43&gt;=50, 1, U43&lt;50, 0)</f>
        <v>3.5</v>
      </c>
      <c r="W43" s="22">
        <v>82.47</v>
      </c>
      <c r="X43" s="29" cm="1">
        <f t="array" ref="X43">_xlfn.IFS(W43&gt;=80, 4, W43&gt;=75, 3.5, W43&gt;=70, 3, W43&gt;=65, 2.5, W43&gt;=60, 2, W43&gt;=55, 1.5, W43&gt;=50, 1, W43&lt;50, 0)</f>
        <v>4</v>
      </c>
      <c r="Y43" s="28" t="str">
        <f t="shared" ref="Y43:Y57" si="42">IF(OR(U43="", W43=""), "New Student", IF(W43-U43 &gt;= 2, "Improved", IF(U43-W43 &gt;= 2, "Declined", "Same")))</f>
        <v>Improved</v>
      </c>
      <c r="Z43" s="28" t="str">
        <f t="shared" ref="Z43:Z57" si="43">IF(OR(V43="", X43=""), "New Student", IF(X43-V43 &gt;= 0.5, "Improved", IF(V43-X43 &gt;= 0.5, "Declined", "Same")))</f>
        <v>Improved</v>
      </c>
      <c r="AA43" s="28"/>
      <c r="AB43" s="28"/>
    </row>
    <row r="44" spans="1:28" ht="13.8">
      <c r="A44" s="21" t="s">
        <v>85</v>
      </c>
      <c r="B44" s="21" t="s">
        <v>86</v>
      </c>
      <c r="C44" s="19" t="s">
        <v>43</v>
      </c>
      <c r="D44" s="20">
        <v>765</v>
      </c>
      <c r="E44" s="19" t="s">
        <v>44</v>
      </c>
      <c r="F44" s="18"/>
      <c r="G44" s="18"/>
      <c r="H44" s="19" t="s">
        <v>3</v>
      </c>
      <c r="I44" s="21">
        <v>4</v>
      </c>
      <c r="J44" s="22">
        <f t="shared" si="36"/>
        <v>80</v>
      </c>
      <c r="K44" s="22">
        <v>37</v>
      </c>
      <c r="L44" s="22">
        <f t="shared" si="37"/>
        <v>92.5</v>
      </c>
      <c r="M44" s="22">
        <v>15</v>
      </c>
      <c r="N44" s="23">
        <f t="shared" si="38"/>
        <v>88.235294117647058</v>
      </c>
      <c r="O44" s="22">
        <v>12</v>
      </c>
      <c r="P44" s="23">
        <f t="shared" si="39"/>
        <v>92.307692307692307</v>
      </c>
      <c r="Q44" s="24">
        <f t="shared" si="40"/>
        <v>0.90666666666666662</v>
      </c>
      <c r="R44" s="25">
        <v>88.260746609999998</v>
      </c>
      <c r="S44" s="26" t="str">
        <f t="shared" si="41"/>
        <v>Your end-of-term exam marks are: Speaking 80%, Listening 92.5%, Reading 88.24%, and Writing 92.31%</v>
      </c>
      <c r="T44" s="31">
        <v>89.63</v>
      </c>
      <c r="U44" s="31">
        <v>90</v>
      </c>
      <c r="V44" s="29" cm="1">
        <f t="array" ref="V44">_xlfn.IFS(U44&gt;=80, 4, U44&gt;=75, 3.5, U44&gt;=70, 3, U44&gt;=65, 2.5, U44&gt;=60, 2, U44&gt;=55, 1.5, U44&gt;=50, 1, U44&lt;50, 0)</f>
        <v>4</v>
      </c>
      <c r="W44" s="22">
        <v>86.65</v>
      </c>
      <c r="X44" s="29" cm="1">
        <f t="array" ref="X44">_xlfn.IFS(W44&gt;=80, 4, W44&gt;=75, 3.5, W44&gt;=70, 3, W44&gt;=65, 2.5, W44&gt;=60, 2, W44&gt;=55, 1.5, W44&gt;=50, 1, W44&lt;50, 0)</f>
        <v>4</v>
      </c>
      <c r="Y44" s="28" t="str">
        <f t="shared" si="42"/>
        <v>Declined</v>
      </c>
      <c r="Z44" s="28" t="str">
        <f t="shared" si="43"/>
        <v>Same</v>
      </c>
      <c r="AA44" s="28"/>
      <c r="AB44" s="28"/>
    </row>
    <row r="45" spans="1:28" ht="13.8">
      <c r="A45" s="21" t="s">
        <v>85</v>
      </c>
      <c r="B45" s="21" t="s">
        <v>86</v>
      </c>
      <c r="C45" s="19" t="s">
        <v>49</v>
      </c>
      <c r="D45" s="20">
        <v>1074</v>
      </c>
      <c r="E45" s="19" t="s">
        <v>50</v>
      </c>
      <c r="F45" s="18"/>
      <c r="G45" s="18"/>
      <c r="H45" s="19" t="s">
        <v>3</v>
      </c>
      <c r="I45" s="21">
        <v>4</v>
      </c>
      <c r="J45" s="22">
        <f t="shared" si="36"/>
        <v>80</v>
      </c>
      <c r="K45" s="22">
        <v>26</v>
      </c>
      <c r="L45" s="22">
        <f t="shared" si="37"/>
        <v>65</v>
      </c>
      <c r="M45" s="22">
        <v>9</v>
      </c>
      <c r="N45" s="23">
        <f t="shared" si="38"/>
        <v>52.941176470588239</v>
      </c>
      <c r="O45" s="22">
        <v>9</v>
      </c>
      <c r="P45" s="23">
        <f t="shared" si="39"/>
        <v>69.230769230769226</v>
      </c>
      <c r="Q45" s="24">
        <f t="shared" si="40"/>
        <v>0.64</v>
      </c>
      <c r="R45" s="25">
        <v>66.792986429999999</v>
      </c>
      <c r="S45" s="26" t="str">
        <f t="shared" si="41"/>
        <v>Your end-of-term exam marks are: Speaking 80%, Listening 65%, Reading 52.94%, and Writing 69.23%</v>
      </c>
      <c r="T45" s="27">
        <v>73.489999999999995</v>
      </c>
      <c r="U45" s="27">
        <v>73.489999999999995</v>
      </c>
      <c r="V45" s="29" cm="1">
        <f t="array" ref="V45">_xlfn.IFS(U45&gt;=80, 4, U45&gt;=75, 3.5, U45&gt;=70, 3, U45&gt;=65, 2.5, U45&gt;=60, 2, U45&gt;=55, 1.5, U45&gt;=50, 1, U45&lt;50, 0)</f>
        <v>3</v>
      </c>
      <c r="W45" s="22">
        <v>76.989999999999995</v>
      </c>
      <c r="X45" s="29" cm="1">
        <f t="array" ref="X45">_xlfn.IFS(W45&gt;=80, 4, W45&gt;=75, 3.5, W45&gt;=70, 3, W45&gt;=65, 2.5, W45&gt;=60, 2, W45&gt;=55, 1.5, W45&gt;=50, 1, W45&lt;50, 0)</f>
        <v>3.5</v>
      </c>
      <c r="Y45" s="28" t="str">
        <f t="shared" si="42"/>
        <v>Improved</v>
      </c>
      <c r="Z45" s="28" t="str">
        <f t="shared" si="43"/>
        <v>Improved</v>
      </c>
      <c r="AA45" s="28"/>
      <c r="AB45" s="28"/>
    </row>
    <row r="46" spans="1:28" ht="13.8">
      <c r="A46" s="21" t="s">
        <v>85</v>
      </c>
      <c r="B46" s="21" t="s">
        <v>86</v>
      </c>
      <c r="C46" s="19" t="s">
        <v>45</v>
      </c>
      <c r="D46" s="20">
        <v>65</v>
      </c>
      <c r="E46" s="19" t="s">
        <v>46</v>
      </c>
      <c r="F46" s="18"/>
      <c r="G46" s="18"/>
      <c r="H46" s="19" t="s">
        <v>3</v>
      </c>
      <c r="I46" s="21">
        <v>3.5</v>
      </c>
      <c r="J46" s="22">
        <f t="shared" si="36"/>
        <v>70</v>
      </c>
      <c r="K46" s="22">
        <v>29</v>
      </c>
      <c r="L46" s="22">
        <f t="shared" si="37"/>
        <v>72.5</v>
      </c>
      <c r="M46" s="22">
        <v>9</v>
      </c>
      <c r="N46" s="23">
        <f t="shared" si="38"/>
        <v>52.941176470588239</v>
      </c>
      <c r="O46" s="22">
        <v>10</v>
      </c>
      <c r="P46" s="23">
        <f t="shared" si="39"/>
        <v>76.923076923076934</v>
      </c>
      <c r="Q46" s="24">
        <f t="shared" si="40"/>
        <v>0.68666666666666665</v>
      </c>
      <c r="R46" s="25">
        <v>68.091063349999999</v>
      </c>
      <c r="S46" s="26" t="str">
        <f t="shared" si="41"/>
        <v>Your end-of-term exam marks are: Speaking 70%, Listening 72.5%, Reading 52.94%, and Writing 76.92%</v>
      </c>
      <c r="T46" s="27">
        <v>70.180000000000007</v>
      </c>
      <c r="U46" s="27">
        <v>70.180000000000007</v>
      </c>
      <c r="V46" s="29" cm="1">
        <f t="array" ref="V46">_xlfn.IFS(U46&gt;=80, 4, U46&gt;=75, 3.5, U46&gt;=70, 3, U46&gt;=65, 2.5, U46&gt;=60, 2, U46&gt;=55, 1.5, U46&gt;=50, 1, U46&lt;50, 0)</f>
        <v>3</v>
      </c>
      <c r="W46" s="22">
        <v>36.6</v>
      </c>
      <c r="X46" s="29" cm="1">
        <f t="array" ref="X46">_xlfn.IFS(W46&gt;=80, 4, W46&gt;=75, 3.5, W46&gt;=70, 3, W46&gt;=65, 2.5, W46&gt;=60, 2, W46&gt;=55, 1.5, W46&gt;=50, 1, W46&lt;50, 0)</f>
        <v>0</v>
      </c>
      <c r="Y46" s="28" t="str">
        <f t="shared" si="42"/>
        <v>Declined</v>
      </c>
      <c r="Z46" s="28" t="str">
        <f t="shared" si="43"/>
        <v>Declined</v>
      </c>
      <c r="AA46" s="28"/>
      <c r="AB46" s="28"/>
    </row>
    <row r="47" spans="1:28" ht="13.8">
      <c r="A47" s="21" t="s">
        <v>85</v>
      </c>
      <c r="B47" s="21" t="s">
        <v>86</v>
      </c>
      <c r="C47" s="19" t="s">
        <v>45</v>
      </c>
      <c r="D47" s="20">
        <v>239</v>
      </c>
      <c r="E47" s="19" t="s">
        <v>57</v>
      </c>
      <c r="F47" s="18"/>
      <c r="G47" s="18"/>
      <c r="H47" s="19" t="s">
        <v>3</v>
      </c>
      <c r="I47" s="21">
        <v>4</v>
      </c>
      <c r="J47" s="22">
        <f t="shared" si="36"/>
        <v>80</v>
      </c>
      <c r="K47" s="22">
        <v>25</v>
      </c>
      <c r="L47" s="22">
        <f t="shared" si="37"/>
        <v>62.5</v>
      </c>
      <c r="M47" s="22">
        <v>8</v>
      </c>
      <c r="N47" s="23">
        <f t="shared" si="38"/>
        <v>47.058823529411761</v>
      </c>
      <c r="O47" s="22">
        <v>11</v>
      </c>
      <c r="P47" s="23">
        <f t="shared" si="39"/>
        <v>84.615384615384613</v>
      </c>
      <c r="Q47" s="24">
        <f t="shared" si="40"/>
        <v>0.64</v>
      </c>
      <c r="R47" s="25">
        <v>68.543552039999994</v>
      </c>
      <c r="S47" s="26" t="str">
        <f t="shared" si="41"/>
        <v>Your end-of-term exam marks are: Speaking 80%, Listening 62.5%, Reading 47.06%, and Writing 84.62%</v>
      </c>
      <c r="T47" s="27">
        <v>85.71</v>
      </c>
      <c r="U47" s="27">
        <v>85.71</v>
      </c>
      <c r="V47" s="29" cm="1">
        <f t="array" ref="V47">_xlfn.IFS(U47&gt;=80, 4, U47&gt;=75, 3.5, U47&gt;=70, 3, U47&gt;=65, 2.5, U47&gt;=60, 2, U47&gt;=55, 1.5, U47&gt;=50, 1, U47&lt;50, 0)</f>
        <v>4</v>
      </c>
      <c r="W47" s="22">
        <v>88.69</v>
      </c>
      <c r="X47" s="29" cm="1">
        <f t="array" ref="X47">_xlfn.IFS(W47&gt;=80, 4, W47&gt;=75, 3.5, W47&gt;=70, 3, W47&gt;=65, 2.5, W47&gt;=60, 2, W47&gt;=55, 1.5, W47&gt;=50, 1, W47&lt;50, 0)</f>
        <v>4</v>
      </c>
      <c r="Y47" s="28" t="str">
        <f t="shared" si="42"/>
        <v>Improved</v>
      </c>
      <c r="Z47" s="28" t="str">
        <f t="shared" si="43"/>
        <v>Same</v>
      </c>
      <c r="AA47" s="28"/>
      <c r="AB47" s="28"/>
    </row>
    <row r="48" spans="1:28" ht="13.8">
      <c r="A48" s="21" t="s">
        <v>85</v>
      </c>
      <c r="B48" s="21" t="s">
        <v>86</v>
      </c>
      <c r="C48" s="18"/>
      <c r="D48" s="20">
        <v>796</v>
      </c>
      <c r="E48" s="18"/>
      <c r="F48" s="18"/>
      <c r="G48" s="18"/>
      <c r="H48" s="19" t="s">
        <v>3</v>
      </c>
      <c r="I48" s="21">
        <v>5</v>
      </c>
      <c r="J48" s="22">
        <f t="shared" si="36"/>
        <v>100</v>
      </c>
      <c r="K48" s="22">
        <v>37</v>
      </c>
      <c r="L48" s="22">
        <f t="shared" si="37"/>
        <v>92.5</v>
      </c>
      <c r="M48" s="22">
        <v>16</v>
      </c>
      <c r="N48" s="23">
        <f t="shared" si="38"/>
        <v>94.117647058823522</v>
      </c>
      <c r="O48" s="22">
        <v>12</v>
      </c>
      <c r="P48" s="23">
        <f t="shared" si="39"/>
        <v>92.307692307692307</v>
      </c>
      <c r="Q48" s="24">
        <f t="shared" si="40"/>
        <v>0.93333333333333335</v>
      </c>
      <c r="R48" s="25">
        <v>94.731334840000002</v>
      </c>
      <c r="S48" s="26" t="str">
        <f t="shared" si="41"/>
        <v>Your end-of-term exam marks are: Speaking 100%, Listening 92.5%, Reading 94.12%, and Writing 92.31%</v>
      </c>
      <c r="T48" s="31">
        <v>89.46</v>
      </c>
      <c r="U48" s="31">
        <v>90</v>
      </c>
      <c r="V48" s="29" cm="1">
        <f t="array" ref="V48">_xlfn.IFS(U48&gt;=80, 4, U48&gt;=75, 3.5, U48&gt;=70, 3, U48&gt;=65, 2.5, U48&gt;=60, 2, U48&gt;=55, 1.5, U48&gt;=50, 1, U48&lt;50, 0)</f>
        <v>4</v>
      </c>
      <c r="W48" s="22">
        <v>89.68</v>
      </c>
      <c r="X48" s="29" cm="1">
        <f t="array" ref="X48">_xlfn.IFS(W48&gt;=80, 4, W48&gt;=75, 3.5, W48&gt;=70, 3, W48&gt;=65, 2.5, W48&gt;=60, 2, W48&gt;=55, 1.5, W48&gt;=50, 1, W48&lt;50, 0)</f>
        <v>4</v>
      </c>
      <c r="Y48" s="28" t="str">
        <f t="shared" si="42"/>
        <v>Same</v>
      </c>
      <c r="Z48" s="28" t="str">
        <f t="shared" si="43"/>
        <v>Same</v>
      </c>
      <c r="AA48" s="28"/>
      <c r="AB48" s="28"/>
    </row>
    <row r="49" spans="1:28" ht="13.8">
      <c r="A49" s="21" t="s">
        <v>85</v>
      </c>
      <c r="B49" s="21" t="s">
        <v>86</v>
      </c>
      <c r="C49" s="19" t="s">
        <v>47</v>
      </c>
      <c r="D49" s="20">
        <v>47</v>
      </c>
      <c r="E49" s="19" t="s">
        <v>48</v>
      </c>
      <c r="F49" s="18"/>
      <c r="G49" s="18"/>
      <c r="H49" s="19" t="s">
        <v>3</v>
      </c>
      <c r="I49" s="21">
        <v>3</v>
      </c>
      <c r="J49" s="22">
        <f t="shared" si="36"/>
        <v>60</v>
      </c>
      <c r="K49" s="22">
        <v>29</v>
      </c>
      <c r="L49" s="22">
        <f t="shared" si="37"/>
        <v>72.5</v>
      </c>
      <c r="M49" s="22">
        <v>9</v>
      </c>
      <c r="N49" s="23">
        <f t="shared" si="38"/>
        <v>52.941176470588239</v>
      </c>
      <c r="O49" s="22">
        <v>9.5</v>
      </c>
      <c r="P49" s="23">
        <f t="shared" si="39"/>
        <v>73.076923076923066</v>
      </c>
      <c r="Q49" s="24">
        <f t="shared" si="40"/>
        <v>0.67333333333333334</v>
      </c>
      <c r="R49" s="25">
        <v>64.629524889999999</v>
      </c>
      <c r="S49" s="26" t="str">
        <f t="shared" si="41"/>
        <v>Your end-of-term exam marks are: Speaking 60%, Listening 72.5%, Reading 52.94%, and Writing 73.08%</v>
      </c>
      <c r="T49" s="27">
        <v>68.040000000000006</v>
      </c>
      <c r="U49" s="27">
        <v>68.040000000000006</v>
      </c>
      <c r="V49" s="29" cm="1">
        <f t="array" ref="V49">_xlfn.IFS(U49&gt;=80, 4, U49&gt;=75, 3.5, U49&gt;=70, 3, U49&gt;=65, 2.5, U49&gt;=60, 2, U49&gt;=55, 1.5, U49&gt;=50, 1, U49&lt;50, 0)</f>
        <v>2.5</v>
      </c>
      <c r="W49" s="22">
        <v>61.95</v>
      </c>
      <c r="X49" s="29" cm="1">
        <f t="array" ref="X49">_xlfn.IFS(W49&gt;=80, 4, W49&gt;=75, 3.5, W49&gt;=70, 3, W49&gt;=65, 2.5, W49&gt;=60, 2, W49&gt;=55, 1.5, W49&gt;=50, 1, W49&lt;50, 0)</f>
        <v>2</v>
      </c>
      <c r="Y49" s="28" t="str">
        <f t="shared" si="42"/>
        <v>Declined</v>
      </c>
      <c r="Z49" s="28" t="str">
        <f t="shared" si="43"/>
        <v>Declined</v>
      </c>
      <c r="AA49" s="28"/>
      <c r="AB49" s="28"/>
    </row>
    <row r="50" spans="1:28" ht="13.8">
      <c r="A50" s="21" t="s">
        <v>85</v>
      </c>
      <c r="B50" s="21" t="s">
        <v>86</v>
      </c>
      <c r="C50" s="19" t="s">
        <v>52</v>
      </c>
      <c r="D50" s="20">
        <v>39</v>
      </c>
      <c r="E50" s="19" t="s">
        <v>53</v>
      </c>
      <c r="F50" s="18"/>
      <c r="G50" s="18"/>
      <c r="H50" s="19" t="s">
        <v>3</v>
      </c>
      <c r="I50" s="21">
        <v>3.5</v>
      </c>
      <c r="J50" s="22">
        <f t="shared" si="36"/>
        <v>70</v>
      </c>
      <c r="K50" s="22">
        <v>26</v>
      </c>
      <c r="L50" s="22">
        <f t="shared" si="37"/>
        <v>65</v>
      </c>
      <c r="M50" s="22">
        <v>10</v>
      </c>
      <c r="N50" s="23">
        <f t="shared" si="38"/>
        <v>58.82352941176471</v>
      </c>
      <c r="O50" s="22">
        <v>11</v>
      </c>
      <c r="P50" s="23">
        <f t="shared" si="39"/>
        <v>84.615384615384613</v>
      </c>
      <c r="Q50" s="24">
        <f t="shared" si="40"/>
        <v>0.67333333333333334</v>
      </c>
      <c r="R50" s="25">
        <v>69.609728509999997</v>
      </c>
      <c r="S50" s="26" t="str">
        <f t="shared" si="41"/>
        <v>Your end-of-term exam marks are: Speaking 70%, Listening 65%, Reading 58.82%, and Writing 84.62%</v>
      </c>
      <c r="T50" s="27">
        <v>62.95</v>
      </c>
      <c r="U50" s="27">
        <v>62.95</v>
      </c>
      <c r="V50" s="29" cm="1">
        <f t="array" ref="V50">_xlfn.IFS(U50&gt;=80, 4, U50&gt;=75, 3.5, U50&gt;=70, 3, U50&gt;=65, 2.5, U50&gt;=60, 2, U50&gt;=55, 1.5, U50&gt;=50, 1, U50&lt;50, 0)</f>
        <v>2</v>
      </c>
      <c r="W50" s="22">
        <v>67.38</v>
      </c>
      <c r="X50" s="29" cm="1">
        <f t="array" ref="X50">_xlfn.IFS(W50&gt;=80, 4, W50&gt;=75, 3.5, W50&gt;=70, 3, W50&gt;=65, 2.5, W50&gt;=60, 2, W50&gt;=55, 1.5, W50&gt;=50, 1, W50&lt;50, 0)</f>
        <v>2.5</v>
      </c>
      <c r="Y50" s="28" t="str">
        <f t="shared" si="42"/>
        <v>Improved</v>
      </c>
      <c r="Z50" s="28" t="str">
        <f t="shared" si="43"/>
        <v>Improved</v>
      </c>
      <c r="AA50" s="28"/>
      <c r="AB50" s="28"/>
    </row>
    <row r="51" spans="1:28" ht="13.8">
      <c r="A51" s="21" t="s">
        <v>85</v>
      </c>
      <c r="B51" s="21" t="s">
        <v>86</v>
      </c>
      <c r="C51" s="19" t="s">
        <v>47</v>
      </c>
      <c r="D51" s="20">
        <v>335</v>
      </c>
      <c r="E51" s="19" t="s">
        <v>55</v>
      </c>
      <c r="F51" s="18"/>
      <c r="G51" s="18"/>
      <c r="H51" s="19" t="s">
        <v>3</v>
      </c>
      <c r="I51" s="21">
        <v>5</v>
      </c>
      <c r="J51" s="22">
        <f t="shared" si="36"/>
        <v>100</v>
      </c>
      <c r="K51" s="22">
        <v>25</v>
      </c>
      <c r="L51" s="22">
        <f t="shared" si="37"/>
        <v>62.5</v>
      </c>
      <c r="M51" s="22">
        <v>7.5</v>
      </c>
      <c r="N51" s="23">
        <f t="shared" si="38"/>
        <v>44.117647058823529</v>
      </c>
      <c r="O51" s="22">
        <v>12</v>
      </c>
      <c r="P51" s="23">
        <f t="shared" si="39"/>
        <v>92.307692307692307</v>
      </c>
      <c r="Q51" s="24">
        <f t="shared" si="40"/>
        <v>0.66</v>
      </c>
      <c r="R51" s="25">
        <v>74.731334840000002</v>
      </c>
      <c r="S51" s="26" t="str">
        <f t="shared" si="41"/>
        <v>Your end-of-term exam marks are: Speaking 100%, Listening 62.5%, Reading 44.12%, and Writing 92.31%</v>
      </c>
      <c r="T51" s="31">
        <v>58.72</v>
      </c>
      <c r="U51" s="31">
        <v>60</v>
      </c>
      <c r="V51" s="29" cm="1">
        <f t="array" ref="V51">_xlfn.IFS(U51&gt;=80, 4, U51&gt;=75, 3.5, U51&gt;=70, 3, U51&gt;=65, 2.5, U51&gt;=60, 2, U51&gt;=55, 1.5, U51&gt;=50, 1, U51&lt;50, 0)</f>
        <v>2</v>
      </c>
      <c r="W51" s="22">
        <v>15.99</v>
      </c>
      <c r="X51" s="29" cm="1">
        <f t="array" ref="X51">_xlfn.IFS(W51&gt;=80, 4, W51&gt;=75, 3.5, W51&gt;=70, 3, W51&gt;=65, 2.5, W51&gt;=60, 2, W51&gt;=55, 1.5, W51&gt;=50, 1, W51&lt;50, 0)</f>
        <v>0</v>
      </c>
      <c r="Y51" s="28" t="str">
        <f t="shared" si="42"/>
        <v>Declined</v>
      </c>
      <c r="Z51" s="28" t="str">
        <f t="shared" si="43"/>
        <v>Declined</v>
      </c>
      <c r="AA51" s="28"/>
      <c r="AB51" s="28"/>
    </row>
    <row r="52" spans="1:28" ht="13.8">
      <c r="A52" s="21" t="s">
        <v>85</v>
      </c>
      <c r="B52" s="21" t="s">
        <v>86</v>
      </c>
      <c r="C52" s="19" t="s">
        <v>47</v>
      </c>
      <c r="D52" s="20">
        <v>113</v>
      </c>
      <c r="E52" s="19" t="s">
        <v>54</v>
      </c>
      <c r="F52" s="18"/>
      <c r="G52" s="18"/>
      <c r="H52" s="19" t="s">
        <v>3</v>
      </c>
      <c r="I52" s="21">
        <v>3.5</v>
      </c>
      <c r="J52" s="22">
        <f t="shared" si="36"/>
        <v>70</v>
      </c>
      <c r="K52" s="22">
        <v>25</v>
      </c>
      <c r="L52" s="22">
        <f t="shared" si="37"/>
        <v>62.5</v>
      </c>
      <c r="M52" s="22">
        <v>8</v>
      </c>
      <c r="N52" s="23">
        <f t="shared" si="38"/>
        <v>47.058823529411761</v>
      </c>
      <c r="O52" s="22">
        <v>10</v>
      </c>
      <c r="P52" s="23">
        <f t="shared" si="39"/>
        <v>76.923076923076934</v>
      </c>
      <c r="Q52" s="24">
        <f t="shared" si="40"/>
        <v>0.62</v>
      </c>
      <c r="R52" s="25">
        <v>64.120475110000001</v>
      </c>
      <c r="S52" s="26" t="str">
        <f t="shared" si="41"/>
        <v>Your end-of-term exam marks are: Speaking 70%, Listening 62.5%, Reading 47.06%, and Writing 76.92%</v>
      </c>
      <c r="T52" s="27">
        <v>73.48</v>
      </c>
      <c r="U52" s="27">
        <v>73.48</v>
      </c>
      <c r="V52" s="29" cm="1">
        <f t="array" ref="V52">_xlfn.IFS(U52&gt;=80, 4, U52&gt;=75, 3.5, U52&gt;=70, 3, U52&gt;=65, 2.5, U52&gt;=60, 2, U52&gt;=55, 1.5, U52&gt;=50, 1, U52&lt;50, 0)</f>
        <v>3</v>
      </c>
      <c r="W52" s="22">
        <v>57.3</v>
      </c>
      <c r="X52" s="29" cm="1">
        <f t="array" ref="X52">_xlfn.IFS(W52&gt;=80, 4, W52&gt;=75, 3.5, W52&gt;=70, 3, W52&gt;=65, 2.5, W52&gt;=60, 2, W52&gt;=55, 1.5, W52&gt;=50, 1, W52&lt;50, 0)</f>
        <v>1.5</v>
      </c>
      <c r="Y52" s="28" t="str">
        <f t="shared" si="42"/>
        <v>Declined</v>
      </c>
      <c r="Z52" s="28" t="str">
        <f t="shared" si="43"/>
        <v>Declined</v>
      </c>
      <c r="AA52" s="28"/>
      <c r="AB52" s="28"/>
    </row>
    <row r="53" spans="1:28" ht="13.8">
      <c r="A53" s="21" t="s">
        <v>85</v>
      </c>
      <c r="B53" s="21" t="s">
        <v>86</v>
      </c>
      <c r="C53" s="19" t="s">
        <v>52</v>
      </c>
      <c r="D53" s="20">
        <v>134</v>
      </c>
      <c r="E53" s="19" t="s">
        <v>56</v>
      </c>
      <c r="F53" s="18"/>
      <c r="G53" s="18"/>
      <c r="H53" s="19" t="s">
        <v>3</v>
      </c>
      <c r="I53" s="21">
        <v>4</v>
      </c>
      <c r="J53" s="22">
        <f t="shared" si="36"/>
        <v>80</v>
      </c>
      <c r="K53" s="22">
        <v>29</v>
      </c>
      <c r="L53" s="22">
        <f t="shared" si="37"/>
        <v>72.5</v>
      </c>
      <c r="M53" s="22">
        <v>8</v>
      </c>
      <c r="N53" s="23">
        <f t="shared" si="38"/>
        <v>47.058823529411761</v>
      </c>
      <c r="O53" s="22">
        <v>12</v>
      </c>
      <c r="P53" s="23">
        <f t="shared" si="39"/>
        <v>92.307692307692307</v>
      </c>
      <c r="Q53" s="24">
        <f t="shared" si="40"/>
        <v>0.70666666666666667</v>
      </c>
      <c r="R53" s="25">
        <v>72.966628959999994</v>
      </c>
      <c r="S53" s="26" t="str">
        <f t="shared" si="41"/>
        <v>Your end-of-term exam marks are: Speaking 80%, Listening 72.5%, Reading 47.06%, and Writing 92.31%</v>
      </c>
      <c r="T53" s="27">
        <v>77.930000000000007</v>
      </c>
      <c r="U53" s="27">
        <v>77.930000000000007</v>
      </c>
      <c r="V53" s="29" cm="1">
        <f t="array" ref="V53">_xlfn.IFS(U53&gt;=80, 4, U53&gt;=75, 3.5, U53&gt;=70, 3, U53&gt;=65, 2.5, U53&gt;=60, 2, U53&gt;=55, 1.5, U53&gt;=50, 1, U53&lt;50, 0)</f>
        <v>3.5</v>
      </c>
      <c r="W53" s="22">
        <v>66.64</v>
      </c>
      <c r="X53" s="29" cm="1">
        <f t="array" ref="X53">_xlfn.IFS(W53&gt;=80, 4, W53&gt;=75, 3.5, W53&gt;=70, 3, W53&gt;=65, 2.5, W53&gt;=60, 2, W53&gt;=55, 1.5, W53&gt;=50, 1, W53&lt;50, 0)</f>
        <v>2.5</v>
      </c>
      <c r="Y53" s="28" t="str">
        <f t="shared" si="42"/>
        <v>Declined</v>
      </c>
      <c r="Z53" s="28" t="str">
        <f t="shared" si="43"/>
        <v>Declined</v>
      </c>
      <c r="AA53" s="28"/>
      <c r="AB53" s="28"/>
    </row>
    <row r="54" spans="1:28" ht="13.8">
      <c r="A54" s="21"/>
      <c r="B54" s="21"/>
      <c r="C54" s="19"/>
      <c r="D54" s="20"/>
      <c r="E54" s="19"/>
      <c r="F54" s="18"/>
      <c r="G54" s="18"/>
      <c r="H54" s="19" t="s">
        <v>3</v>
      </c>
      <c r="I54" s="21"/>
      <c r="J54" s="22"/>
      <c r="K54" s="22"/>
      <c r="L54" s="22"/>
      <c r="M54" s="22"/>
      <c r="N54" s="23"/>
      <c r="O54" s="22"/>
      <c r="P54" s="23"/>
      <c r="Q54" s="24"/>
      <c r="R54" s="25"/>
      <c r="S54" s="26"/>
      <c r="T54" s="31"/>
      <c r="U54" s="31"/>
      <c r="V54" s="29" cm="1">
        <f t="array" ref="V54">_xlfn.IFS(U54&gt;=80, 4, U54&gt;=75, 3.5, U54&gt;=70, 3, U54&gt;=65, 2.5, U54&gt;=60, 2, U54&gt;=55, 1.5, U54&gt;=50, 1, U54&lt;50, 0)</f>
        <v>0</v>
      </c>
      <c r="W54" s="22">
        <v>87.83</v>
      </c>
      <c r="X54" s="29" cm="1">
        <f t="array" ref="X54">_xlfn.IFS(W54&gt;=80, 4, W54&gt;=75, 3.5, W54&gt;=70, 3, W54&gt;=65, 2.5, W54&gt;=60, 2, W54&gt;=55, 1.5, W54&gt;=50, 1, W54&lt;50, 0)</f>
        <v>4</v>
      </c>
      <c r="Y54" s="28" t="str">
        <f t="shared" si="42"/>
        <v>New Student</v>
      </c>
      <c r="Z54" s="28" t="str">
        <f t="shared" si="43"/>
        <v>Improved</v>
      </c>
      <c r="AA54" s="28"/>
      <c r="AB54" s="28"/>
    </row>
    <row r="55" spans="1:28" ht="13.8">
      <c r="A55" s="21" t="s">
        <v>85</v>
      </c>
      <c r="B55" s="21" t="s">
        <v>86</v>
      </c>
      <c r="C55" s="19" t="s">
        <v>47</v>
      </c>
      <c r="D55" s="20">
        <v>1046</v>
      </c>
      <c r="E55" s="19" t="s">
        <v>58</v>
      </c>
      <c r="F55" s="18"/>
      <c r="G55" s="18"/>
      <c r="H55" s="19" t="s">
        <v>3</v>
      </c>
      <c r="I55" s="21">
        <v>4</v>
      </c>
      <c r="J55" s="22">
        <f t="shared" ref="J55:J57" si="44">(I55/5)*100</f>
        <v>80</v>
      </c>
      <c r="K55" s="22">
        <v>28</v>
      </c>
      <c r="L55" s="22">
        <f t="shared" ref="L55:L57" si="45">(K55/40)*100</f>
        <v>70</v>
      </c>
      <c r="M55" s="22">
        <v>7</v>
      </c>
      <c r="N55" s="23">
        <f t="shared" ref="N55:N57" si="46">(M55/17)*100</f>
        <v>41.17647058823529</v>
      </c>
      <c r="O55" s="22">
        <v>11</v>
      </c>
      <c r="P55" s="23">
        <f t="shared" ref="P55:P57" si="47">(O55/13)*100</f>
        <v>84.615384615384613</v>
      </c>
      <c r="Q55" s="24">
        <f t="shared" ref="Q55:Q57" si="48">(SUM(I55,K55,M55,O55)/75)</f>
        <v>0.66666666666666663</v>
      </c>
      <c r="R55" s="25">
        <v>68.947963799999997</v>
      </c>
      <c r="S55" s="26" t="str">
        <f t="shared" ref="S55:S57" si="49">CONCATENATE("Your end-of-term exam marks are: Speaking ", J55, "%, Listening ", ROUND(L55, 2), "%, Reading ", ROUND(N55, 2), "%, and Writing ", ROUND(P55, 2), "%")</f>
        <v>Your end-of-term exam marks are: Speaking 80%, Listening 70%, Reading 41.18%, and Writing 84.62%</v>
      </c>
      <c r="T55" s="31">
        <v>57.56</v>
      </c>
      <c r="U55" s="31">
        <v>60</v>
      </c>
      <c r="V55" s="29" cm="1">
        <f t="array" ref="V55">_xlfn.IFS(U55&gt;=80, 4, U55&gt;=75, 3.5, U55&gt;=70, 3, U55&gt;=65, 2.5, U55&gt;=60, 2, U55&gt;=55, 1.5, U55&gt;=50, 1, U55&lt;50, 0)</f>
        <v>2</v>
      </c>
      <c r="W55" s="22">
        <v>70.22</v>
      </c>
      <c r="X55" s="29" cm="1">
        <f t="array" ref="X55">_xlfn.IFS(W55&gt;=80, 4, W55&gt;=75, 3.5, W55&gt;=70, 3, W55&gt;=65, 2.5, W55&gt;=60, 2, W55&gt;=55, 1.5, W55&gt;=50, 1, W55&lt;50, 0)</f>
        <v>3</v>
      </c>
      <c r="Y55" s="28" t="str">
        <f t="shared" si="42"/>
        <v>Improved</v>
      </c>
      <c r="Z55" s="28" t="str">
        <f t="shared" si="43"/>
        <v>Improved</v>
      </c>
      <c r="AA55" s="28"/>
      <c r="AB55" s="28"/>
    </row>
    <row r="56" spans="1:28" ht="13.8">
      <c r="A56" s="21" t="s">
        <v>85</v>
      </c>
      <c r="B56" s="21" t="s">
        <v>86</v>
      </c>
      <c r="C56" s="19" t="s">
        <v>45</v>
      </c>
      <c r="D56" s="20">
        <v>82</v>
      </c>
      <c r="E56" s="19" t="s">
        <v>51</v>
      </c>
      <c r="F56" s="18"/>
      <c r="G56" s="18"/>
      <c r="H56" s="19" t="s">
        <v>3</v>
      </c>
      <c r="I56" s="21">
        <v>4</v>
      </c>
      <c r="J56" s="22">
        <f t="shared" si="44"/>
        <v>80</v>
      </c>
      <c r="K56" s="22">
        <v>28</v>
      </c>
      <c r="L56" s="22">
        <f t="shared" si="45"/>
        <v>70</v>
      </c>
      <c r="M56" s="22">
        <v>9.5</v>
      </c>
      <c r="N56" s="23">
        <f t="shared" si="46"/>
        <v>55.882352941176471</v>
      </c>
      <c r="O56" s="22">
        <v>9</v>
      </c>
      <c r="P56" s="23">
        <f t="shared" si="47"/>
        <v>69.230769230769226</v>
      </c>
      <c r="Q56" s="24">
        <f t="shared" si="48"/>
        <v>0.67333333333333334</v>
      </c>
      <c r="R56" s="25">
        <v>68.778280539999997</v>
      </c>
      <c r="S56" s="26" t="str">
        <f t="shared" si="49"/>
        <v>Your end-of-term exam marks are: Speaking 80%, Listening 70%, Reading 55.88%, and Writing 69.23%</v>
      </c>
      <c r="T56" s="27">
        <v>65.33</v>
      </c>
      <c r="U56" s="27">
        <v>65.33</v>
      </c>
      <c r="V56" s="29" cm="1">
        <f t="array" ref="V56">_xlfn.IFS(U56&gt;=80, 4, U56&gt;=75, 3.5, U56&gt;=70, 3, U56&gt;=65, 2.5, U56&gt;=60, 2, U56&gt;=55, 1.5, U56&gt;=50, 1, U56&lt;50, 0)</f>
        <v>2.5</v>
      </c>
      <c r="W56" s="22">
        <v>66.14</v>
      </c>
      <c r="X56" s="29" cm="1">
        <f t="array" ref="X56">_xlfn.IFS(W56&gt;=80, 4, W56&gt;=75, 3.5, W56&gt;=70, 3, W56&gt;=65, 2.5, W56&gt;=60, 2, W56&gt;=55, 1.5, W56&gt;=50, 1, W56&lt;50, 0)</f>
        <v>2.5</v>
      </c>
      <c r="Y56" s="28" t="str">
        <f t="shared" si="42"/>
        <v>Same</v>
      </c>
      <c r="Z56" s="28" t="str">
        <f t="shared" si="43"/>
        <v>Same</v>
      </c>
      <c r="AA56" s="28"/>
      <c r="AB56" s="28"/>
    </row>
    <row r="57" spans="1:28" ht="13.8">
      <c r="A57" s="21" t="s">
        <v>85</v>
      </c>
      <c r="B57" s="21" t="s">
        <v>86</v>
      </c>
      <c r="C57" s="19" t="s">
        <v>47</v>
      </c>
      <c r="D57" s="20">
        <v>1050</v>
      </c>
      <c r="E57" s="19" t="s">
        <v>59</v>
      </c>
      <c r="F57" s="18"/>
      <c r="G57" s="18"/>
      <c r="H57" s="19" t="s">
        <v>3</v>
      </c>
      <c r="I57" s="21">
        <v>5</v>
      </c>
      <c r="J57" s="22">
        <f t="shared" si="44"/>
        <v>100</v>
      </c>
      <c r="K57" s="22">
        <v>31</v>
      </c>
      <c r="L57" s="22">
        <f t="shared" si="45"/>
        <v>77.5</v>
      </c>
      <c r="M57" s="22">
        <v>13</v>
      </c>
      <c r="N57" s="23">
        <f t="shared" si="46"/>
        <v>76.470588235294116</v>
      </c>
      <c r="O57" s="22">
        <v>12</v>
      </c>
      <c r="P57" s="23">
        <f t="shared" si="47"/>
        <v>92.307692307692307</v>
      </c>
      <c r="Q57" s="24">
        <f t="shared" si="48"/>
        <v>0.81333333333333335</v>
      </c>
      <c r="R57" s="25">
        <v>86.569570139999996</v>
      </c>
      <c r="S57" s="26" t="str">
        <f t="shared" si="49"/>
        <v>Your end-of-term exam marks are: Speaking 100%, Listening 77.5%, Reading 76.47%, and Writing 92.31%</v>
      </c>
      <c r="T57" s="31">
        <v>64.739999999999995</v>
      </c>
      <c r="U57" s="31">
        <v>65</v>
      </c>
      <c r="V57" s="29" cm="1">
        <f t="array" ref="V57">_xlfn.IFS(U57&gt;=80, 4, U57&gt;=75, 3.5, U57&gt;=70, 3, U57&gt;=65, 2.5, U57&gt;=60, 2, U57&gt;=55, 1.5, U57&gt;=50, 1, U57&lt;50, 0)</f>
        <v>2.5</v>
      </c>
      <c r="W57" s="22">
        <v>71.14</v>
      </c>
      <c r="X57" s="29" cm="1">
        <f t="array" ref="X57">_xlfn.IFS(W57&gt;=80, 4, W57&gt;=75, 3.5, W57&gt;=70, 3, W57&gt;=65, 2.5, W57&gt;=60, 2, W57&gt;=55, 1.5, W57&gt;=50, 1, W57&lt;50, 0)</f>
        <v>3</v>
      </c>
      <c r="Y57" s="28" t="str">
        <f t="shared" si="42"/>
        <v>Improved</v>
      </c>
      <c r="Z57" s="28" t="str">
        <f t="shared" si="43"/>
        <v>Improved</v>
      </c>
      <c r="AA57" s="28"/>
      <c r="AB57" s="28"/>
    </row>
    <row r="58" spans="1:28" ht="13.8">
      <c r="A58" s="32"/>
      <c r="B58" s="32"/>
      <c r="C58" s="32"/>
      <c r="D58" s="33"/>
      <c r="E58" s="32" t="s">
        <v>82</v>
      </c>
      <c r="F58" s="32"/>
      <c r="G58" s="32"/>
      <c r="H58" s="34"/>
      <c r="I58" s="35">
        <f t="shared" ref="I58:Q58" si="50">AVERAGE(I45:I57)</f>
        <v>4.041666666666667</v>
      </c>
      <c r="J58" s="35">
        <f t="shared" si="50"/>
        <v>80.833333333333329</v>
      </c>
      <c r="K58" s="35">
        <f t="shared" si="50"/>
        <v>28.166666666666668</v>
      </c>
      <c r="L58" s="35">
        <f t="shared" si="50"/>
        <v>70.416666666666671</v>
      </c>
      <c r="M58" s="35">
        <f t="shared" si="50"/>
        <v>9.5</v>
      </c>
      <c r="N58" s="35">
        <f t="shared" si="50"/>
        <v>55.882352941176471</v>
      </c>
      <c r="O58" s="35">
        <f t="shared" si="50"/>
        <v>10.708333333333334</v>
      </c>
      <c r="P58" s="35">
        <f t="shared" si="50"/>
        <v>82.371794871794876</v>
      </c>
      <c r="Q58" s="36">
        <f t="shared" si="50"/>
        <v>0.69888888888888889</v>
      </c>
      <c r="R58" s="36"/>
      <c r="S58" s="36"/>
      <c r="T58" s="36"/>
      <c r="U58" s="39">
        <f>AVERAGE(U43:U57)</f>
        <v>72.650714285714287</v>
      </c>
      <c r="V58" s="39">
        <f>AVERAGE(V43:V57)</f>
        <v>2.7666666666666666</v>
      </c>
      <c r="W58" s="36"/>
      <c r="X58" s="39">
        <f>AVERAGE(X43:X57)</f>
        <v>2.7</v>
      </c>
      <c r="Y58" s="36"/>
      <c r="Z58" s="36"/>
      <c r="AA58" s="28"/>
      <c r="AB58" s="28"/>
    </row>
    <row r="59" spans="1:28" ht="13.8">
      <c r="A59" s="43"/>
      <c r="B59" s="43"/>
      <c r="C59" s="43"/>
      <c r="D59" s="44"/>
      <c r="E59" s="43"/>
      <c r="F59" s="43"/>
      <c r="G59" s="43"/>
      <c r="H59" s="43"/>
      <c r="I59" s="45"/>
      <c r="J59" s="45"/>
      <c r="K59" s="45"/>
      <c r="L59" s="45"/>
      <c r="M59" s="45"/>
      <c r="N59" s="46"/>
      <c r="O59" s="45"/>
      <c r="P59" s="46"/>
      <c r="Q59" s="45"/>
      <c r="R59" s="47"/>
      <c r="S59" s="43"/>
      <c r="T59" s="45"/>
      <c r="U59" s="47"/>
      <c r="V59" s="45"/>
      <c r="W59" s="45"/>
      <c r="X59" s="45"/>
      <c r="Y59" s="45"/>
      <c r="Z59" s="45"/>
      <c r="AA59" s="45"/>
      <c r="AB59" s="45"/>
    </row>
    <row r="60" spans="1:28" ht="13.8">
      <c r="A60" s="43"/>
      <c r="B60" s="43"/>
      <c r="C60" s="43"/>
      <c r="D60" s="44"/>
      <c r="E60" s="43"/>
      <c r="F60" s="43"/>
      <c r="G60" s="43"/>
      <c r="H60" s="43"/>
      <c r="I60" s="45"/>
      <c r="J60" s="45"/>
      <c r="K60" s="45"/>
      <c r="L60" s="45"/>
      <c r="M60" s="45"/>
      <c r="N60" s="46"/>
      <c r="O60" s="45"/>
      <c r="P60" s="46"/>
      <c r="Q60" s="45"/>
      <c r="R60" s="47"/>
      <c r="S60" s="43"/>
      <c r="T60" s="45"/>
      <c r="U60" s="47"/>
      <c r="V60" s="45"/>
      <c r="W60" s="45"/>
      <c r="X60" s="45"/>
      <c r="Z60" s="45"/>
      <c r="AA60" s="45"/>
      <c r="AB60" s="45"/>
    </row>
    <row r="61" spans="1:28" ht="13.8">
      <c r="A61" s="43"/>
      <c r="B61" s="43"/>
      <c r="C61" s="43"/>
      <c r="D61" s="44"/>
      <c r="E61" s="43"/>
      <c r="F61" s="43"/>
      <c r="G61" s="43"/>
      <c r="H61" s="43"/>
      <c r="I61" s="45"/>
      <c r="J61" s="45"/>
      <c r="K61" s="45"/>
      <c r="L61" s="45"/>
      <c r="M61" s="45"/>
      <c r="N61" s="46"/>
      <c r="O61" s="45"/>
      <c r="P61" s="46"/>
      <c r="Q61" s="45"/>
      <c r="R61" s="47"/>
      <c r="S61" s="43"/>
      <c r="T61" s="45"/>
      <c r="U61" s="47"/>
      <c r="V61" s="45"/>
      <c r="W61" s="45"/>
      <c r="X61" s="45"/>
      <c r="Y61" s="48" t="s">
        <v>87</v>
      </c>
      <c r="Z61" s="48" t="s">
        <v>76</v>
      </c>
      <c r="AA61" s="45"/>
      <c r="AB61" s="45"/>
    </row>
    <row r="62" spans="1:28" ht="13.8">
      <c r="A62" s="43"/>
      <c r="B62" s="43"/>
      <c r="C62" s="43"/>
      <c r="D62" s="44"/>
      <c r="E62" s="43"/>
      <c r="F62" s="43"/>
      <c r="G62" s="43"/>
      <c r="H62" s="43"/>
      <c r="I62" s="45"/>
      <c r="J62" s="45"/>
      <c r="K62" s="45"/>
      <c r="L62" s="45"/>
      <c r="M62" s="45"/>
      <c r="N62" s="46"/>
      <c r="O62" s="45"/>
      <c r="P62" s="46"/>
      <c r="Q62" s="45"/>
      <c r="R62" s="47"/>
      <c r="S62" s="43"/>
      <c r="T62" s="45"/>
      <c r="U62" s="47"/>
      <c r="V62" s="45"/>
      <c r="W62" s="45"/>
      <c r="X62" s="45"/>
      <c r="Y62" s="45" t="str">
        <f>"Improved: " &amp; COUNTIF($Y$2:$Y$60, "Improved")</f>
        <v>Improved: 19</v>
      </c>
      <c r="Z62" s="45" t="str">
        <f>"Improved: " &amp; COUNTIF($Z$2:$Z$60, "Improved")</f>
        <v>Improved: 17</v>
      </c>
      <c r="AA62" s="45"/>
      <c r="AB62" s="45"/>
    </row>
    <row r="63" spans="1:28" ht="13.8">
      <c r="A63" s="43"/>
      <c r="B63" s="43"/>
      <c r="C63" s="43"/>
      <c r="D63" s="44"/>
      <c r="E63" s="43"/>
      <c r="F63" s="43"/>
      <c r="G63" s="43"/>
      <c r="H63" s="43"/>
      <c r="I63" s="45"/>
      <c r="J63" s="45"/>
      <c r="K63" s="45"/>
      <c r="L63" s="45"/>
      <c r="M63" s="45"/>
      <c r="N63" s="46"/>
      <c r="O63" s="45"/>
      <c r="P63" s="46"/>
      <c r="Q63" s="45"/>
      <c r="R63" s="47"/>
      <c r="S63" s="43"/>
      <c r="T63" s="45"/>
      <c r="U63" s="47"/>
      <c r="V63" s="45"/>
      <c r="W63" s="45"/>
      <c r="X63" s="45"/>
      <c r="Y63" s="45" t="str">
        <f>"Declined: " &amp; COUNTIF($Y$2:$Y$60, "Declined")</f>
        <v>Declined: 24</v>
      </c>
      <c r="Z63" s="45" t="str">
        <f>"Declined: " &amp; COUNTIF($Z$2:$Z$60, "Declined")</f>
        <v>Declined: 20</v>
      </c>
      <c r="AA63" s="45"/>
      <c r="AB63" s="45"/>
    </row>
    <row r="64" spans="1:28" ht="13.8">
      <c r="A64" s="43"/>
      <c r="B64" s="43"/>
      <c r="C64" s="43"/>
      <c r="D64" s="44"/>
      <c r="E64" s="43"/>
      <c r="F64" s="43"/>
      <c r="G64" s="43"/>
      <c r="H64" s="43"/>
      <c r="I64" s="45"/>
      <c r="J64" s="45"/>
      <c r="K64" s="45"/>
      <c r="L64" s="45"/>
      <c r="M64" s="45"/>
      <c r="N64" s="46"/>
      <c r="O64" s="45"/>
      <c r="P64" s="46"/>
      <c r="Q64" s="45"/>
      <c r="R64" s="47"/>
      <c r="S64" s="43"/>
      <c r="T64" s="45"/>
      <c r="U64" s="47"/>
      <c r="V64" s="45"/>
      <c r="W64" s="45"/>
      <c r="X64" s="45"/>
      <c r="Y64" s="45" t="str">
        <f>"Same: " &amp; COUNTIF($Y$2:$Y$60, "Same")</f>
        <v>Same: 7</v>
      </c>
      <c r="Z64" s="45" t="str">
        <f>"Same: " &amp; COUNTIF($Z$2:$Z$60, "Same")</f>
        <v>Same: 16</v>
      </c>
      <c r="AA64" s="45"/>
      <c r="AB64" s="45"/>
    </row>
    <row r="65" spans="1:28" ht="13.8">
      <c r="A65" s="43"/>
      <c r="B65" s="43"/>
      <c r="C65" s="43"/>
      <c r="D65" s="44"/>
      <c r="E65" s="43"/>
      <c r="F65" s="43"/>
      <c r="G65" s="43"/>
      <c r="H65" s="43"/>
      <c r="I65" s="45"/>
      <c r="J65" s="45"/>
      <c r="K65" s="45"/>
      <c r="L65" s="45"/>
      <c r="M65" s="45"/>
      <c r="N65" s="46"/>
      <c r="O65" s="45"/>
      <c r="P65" s="46"/>
      <c r="Q65" s="45"/>
      <c r="R65" s="47"/>
      <c r="S65" s="43"/>
      <c r="T65" s="45"/>
      <c r="U65" s="47"/>
      <c r="V65" s="45"/>
      <c r="W65" s="45"/>
      <c r="X65" s="45"/>
      <c r="Y65" s="45"/>
      <c r="Z65" s="45"/>
      <c r="AA65" s="45"/>
      <c r="AB65" s="45"/>
    </row>
    <row r="66" spans="1:28" ht="13.8">
      <c r="A66" s="43"/>
      <c r="B66" s="43"/>
      <c r="C66" s="43"/>
      <c r="D66" s="44"/>
      <c r="E66" s="43"/>
      <c r="F66" s="43"/>
      <c r="G66" s="43"/>
      <c r="H66" s="43"/>
      <c r="I66" s="45"/>
      <c r="J66" s="45"/>
      <c r="K66" s="45"/>
      <c r="L66" s="45"/>
      <c r="M66" s="45"/>
      <c r="N66" s="46"/>
      <c r="O66" s="45"/>
      <c r="P66" s="46"/>
      <c r="Q66" s="45"/>
      <c r="R66" s="47"/>
      <c r="S66" s="43"/>
      <c r="T66" s="45"/>
      <c r="U66" s="47"/>
      <c r="V66" s="45"/>
      <c r="W66" s="45"/>
      <c r="X66" s="45"/>
      <c r="Y66" s="45"/>
      <c r="Z66" s="45"/>
      <c r="AA66" s="45"/>
      <c r="AB66" s="45"/>
    </row>
    <row r="67" spans="1:28" ht="13.8">
      <c r="A67" s="43"/>
      <c r="B67" s="43"/>
      <c r="C67" s="43"/>
      <c r="D67" s="44"/>
      <c r="E67" s="43"/>
      <c r="F67" s="43"/>
      <c r="G67" s="43"/>
      <c r="H67" s="43"/>
      <c r="I67" s="45"/>
      <c r="J67" s="45"/>
      <c r="K67" s="45"/>
      <c r="L67" s="45"/>
      <c r="M67" s="45"/>
      <c r="N67" s="46"/>
      <c r="O67" s="45"/>
      <c r="P67" s="46"/>
      <c r="Q67" s="45"/>
      <c r="R67" s="47"/>
      <c r="S67" s="43"/>
      <c r="T67" s="45"/>
      <c r="U67" s="47"/>
      <c r="V67" s="45"/>
      <c r="W67" s="45"/>
      <c r="X67" s="45"/>
      <c r="Y67" s="45"/>
      <c r="Z67" s="45"/>
      <c r="AA67" s="45"/>
      <c r="AB67" s="45"/>
    </row>
    <row r="68" spans="1:28" ht="13.8">
      <c r="A68" s="43"/>
      <c r="B68" s="43"/>
      <c r="C68" s="43"/>
      <c r="D68" s="44"/>
      <c r="E68" s="43"/>
      <c r="F68" s="43"/>
      <c r="G68" s="43"/>
      <c r="H68" s="43"/>
      <c r="I68" s="45"/>
      <c r="J68" s="45"/>
      <c r="K68" s="45"/>
      <c r="L68" s="45"/>
      <c r="M68" s="45"/>
      <c r="N68" s="46"/>
      <c r="O68" s="45"/>
      <c r="P68" s="46"/>
      <c r="Q68" s="45"/>
      <c r="R68" s="47"/>
      <c r="S68" s="43"/>
      <c r="T68" s="45"/>
      <c r="U68" s="47"/>
      <c r="V68" s="45"/>
      <c r="W68" s="45"/>
      <c r="X68" s="45"/>
      <c r="Y68" s="45"/>
      <c r="Z68" s="45"/>
      <c r="AA68" s="45"/>
      <c r="AB68" s="45"/>
    </row>
    <row r="69" spans="1:28" ht="13.8">
      <c r="A69" s="43"/>
      <c r="B69" s="43"/>
      <c r="C69" s="43"/>
      <c r="D69" s="44"/>
      <c r="E69" s="43"/>
      <c r="F69" s="43"/>
      <c r="G69" s="43"/>
      <c r="H69" s="43"/>
      <c r="I69" s="45"/>
      <c r="J69" s="45"/>
      <c r="K69" s="45"/>
      <c r="L69" s="45"/>
      <c r="M69" s="45"/>
      <c r="N69" s="46"/>
      <c r="O69" s="45"/>
      <c r="P69" s="46"/>
      <c r="Q69" s="45"/>
      <c r="R69" s="47"/>
      <c r="S69" s="43"/>
      <c r="T69" s="45"/>
      <c r="U69" s="47"/>
      <c r="V69" s="45"/>
      <c r="W69" s="45"/>
      <c r="X69" s="45"/>
      <c r="Y69" s="45"/>
      <c r="Z69" s="45"/>
      <c r="AA69" s="45"/>
      <c r="AB69" s="45"/>
    </row>
    <row r="70" spans="1:28" ht="13.8">
      <c r="A70" s="43"/>
      <c r="B70" s="43"/>
      <c r="C70" s="43"/>
      <c r="D70" s="44"/>
      <c r="E70" s="43"/>
      <c r="F70" s="43"/>
      <c r="G70" s="43"/>
      <c r="H70" s="43"/>
      <c r="I70" s="45"/>
      <c r="J70" s="45"/>
      <c r="K70" s="45"/>
      <c r="L70" s="45"/>
      <c r="M70" s="45"/>
      <c r="N70" s="46"/>
      <c r="O70" s="45"/>
      <c r="P70" s="46"/>
      <c r="Q70" s="45"/>
      <c r="R70" s="47"/>
      <c r="S70" s="43"/>
      <c r="T70" s="45"/>
      <c r="U70" s="47"/>
      <c r="V70" s="45"/>
      <c r="W70" s="45"/>
      <c r="X70" s="45"/>
      <c r="Y70" s="45"/>
      <c r="Z70" s="45"/>
      <c r="AA70" s="45"/>
      <c r="AB70" s="45"/>
    </row>
    <row r="71" spans="1:28" ht="13.8">
      <c r="A71" s="43"/>
      <c r="B71" s="43"/>
      <c r="C71" s="43"/>
      <c r="D71" s="44"/>
      <c r="E71" s="43"/>
      <c r="F71" s="43"/>
      <c r="G71" s="43"/>
      <c r="H71" s="43"/>
      <c r="I71" s="45"/>
      <c r="J71" s="45"/>
      <c r="K71" s="45"/>
      <c r="L71" s="45"/>
      <c r="M71" s="45"/>
      <c r="N71" s="46"/>
      <c r="O71" s="45"/>
      <c r="P71" s="46"/>
      <c r="Q71" s="45"/>
      <c r="R71" s="47"/>
      <c r="S71" s="43"/>
      <c r="T71" s="45"/>
      <c r="U71" s="47"/>
      <c r="V71" s="45"/>
      <c r="W71" s="45"/>
      <c r="X71" s="45"/>
      <c r="Y71" s="45"/>
      <c r="Z71" s="45"/>
      <c r="AA71" s="45"/>
      <c r="AB71" s="45"/>
    </row>
    <row r="72" spans="1:28" ht="13.8">
      <c r="A72" s="43"/>
      <c r="B72" s="43"/>
      <c r="C72" s="43"/>
      <c r="D72" s="44"/>
      <c r="E72" s="43"/>
      <c r="F72" s="43"/>
      <c r="G72" s="43"/>
      <c r="H72" s="43"/>
      <c r="I72" s="45"/>
      <c r="J72" s="45"/>
      <c r="K72" s="45"/>
      <c r="L72" s="45"/>
      <c r="M72" s="45"/>
      <c r="N72" s="46"/>
      <c r="O72" s="45"/>
      <c r="P72" s="46"/>
      <c r="Q72" s="45"/>
      <c r="R72" s="47"/>
      <c r="S72" s="43"/>
      <c r="T72" s="45"/>
      <c r="U72" s="47"/>
      <c r="V72" s="45"/>
      <c r="W72" s="45"/>
      <c r="X72" s="45"/>
      <c r="Y72" s="45"/>
      <c r="Z72" s="45"/>
      <c r="AA72" s="45"/>
      <c r="AB72" s="45"/>
    </row>
    <row r="73" spans="1:28" ht="13.8">
      <c r="A73" s="43"/>
      <c r="B73" s="43"/>
      <c r="C73" s="43"/>
      <c r="D73" s="44"/>
      <c r="E73" s="43"/>
      <c r="F73" s="43"/>
      <c r="G73" s="43"/>
      <c r="H73" s="43"/>
      <c r="I73" s="45"/>
      <c r="J73" s="45"/>
      <c r="K73" s="45"/>
      <c r="L73" s="45"/>
      <c r="M73" s="45"/>
      <c r="N73" s="46"/>
      <c r="O73" s="45"/>
      <c r="P73" s="46"/>
      <c r="Q73" s="45"/>
      <c r="R73" s="47"/>
      <c r="S73" s="43"/>
      <c r="T73" s="45"/>
      <c r="U73" s="47"/>
      <c r="V73" s="45"/>
      <c r="W73" s="45"/>
      <c r="X73" s="45"/>
      <c r="Y73" s="45"/>
      <c r="Z73" s="45"/>
      <c r="AA73" s="45"/>
      <c r="AB73" s="45"/>
    </row>
    <row r="74" spans="1:28" ht="13.8">
      <c r="A74" s="43"/>
      <c r="B74" s="43"/>
      <c r="C74" s="43"/>
      <c r="D74" s="44"/>
      <c r="E74" s="43"/>
      <c r="F74" s="43"/>
      <c r="G74" s="43"/>
      <c r="H74" s="43"/>
      <c r="I74" s="45"/>
      <c r="J74" s="45"/>
      <c r="K74" s="45"/>
      <c r="L74" s="45"/>
      <c r="M74" s="45"/>
      <c r="N74" s="46"/>
      <c r="O74" s="45"/>
      <c r="P74" s="46"/>
      <c r="Q74" s="45"/>
      <c r="R74" s="47"/>
      <c r="S74" s="43"/>
      <c r="T74" s="45"/>
      <c r="U74" s="47"/>
      <c r="V74" s="45"/>
      <c r="W74" s="45"/>
      <c r="X74" s="45"/>
      <c r="Y74" s="45"/>
      <c r="Z74" s="45"/>
      <c r="AA74" s="45"/>
      <c r="AB74" s="45"/>
    </row>
    <row r="75" spans="1:28" ht="13.8">
      <c r="A75" s="43"/>
      <c r="B75" s="43"/>
      <c r="C75" s="43"/>
      <c r="D75" s="44"/>
      <c r="E75" s="43"/>
      <c r="F75" s="43"/>
      <c r="G75" s="43"/>
      <c r="H75" s="43"/>
      <c r="I75" s="45"/>
      <c r="J75" s="45"/>
      <c r="K75" s="45"/>
      <c r="L75" s="45"/>
      <c r="M75" s="45"/>
      <c r="N75" s="46"/>
      <c r="O75" s="45"/>
      <c r="P75" s="46"/>
      <c r="Q75" s="45"/>
      <c r="R75" s="47"/>
      <c r="S75" s="43"/>
      <c r="T75" s="45"/>
      <c r="U75" s="47"/>
      <c r="V75" s="45"/>
      <c r="W75" s="45"/>
      <c r="X75" s="45"/>
      <c r="Y75" s="45"/>
      <c r="Z75" s="45"/>
      <c r="AA75" s="45"/>
      <c r="AB75" s="45"/>
    </row>
    <row r="76" spans="1:28" ht="13.8">
      <c r="A76" s="43"/>
      <c r="B76" s="43"/>
      <c r="C76" s="43"/>
      <c r="D76" s="44"/>
      <c r="E76" s="43"/>
      <c r="F76" s="43"/>
      <c r="G76" s="43"/>
      <c r="H76" s="43"/>
      <c r="I76" s="45"/>
      <c r="J76" s="45"/>
      <c r="K76" s="45"/>
      <c r="L76" s="45"/>
      <c r="M76" s="45"/>
      <c r="N76" s="46"/>
      <c r="O76" s="45"/>
      <c r="P76" s="46"/>
      <c r="Q76" s="45"/>
      <c r="R76" s="47"/>
      <c r="S76" s="43"/>
      <c r="T76" s="45"/>
      <c r="U76" s="47"/>
      <c r="V76" s="45"/>
      <c r="W76" s="45"/>
      <c r="X76" s="45"/>
      <c r="Y76" s="45"/>
      <c r="Z76" s="45"/>
      <c r="AA76" s="45"/>
      <c r="AB76" s="45"/>
    </row>
    <row r="77" spans="1:28" ht="13.8">
      <c r="A77" s="43"/>
      <c r="B77" s="43"/>
      <c r="C77" s="43"/>
      <c r="D77" s="44"/>
      <c r="E77" s="43"/>
      <c r="F77" s="43"/>
      <c r="G77" s="43"/>
      <c r="H77" s="43"/>
      <c r="I77" s="45"/>
      <c r="J77" s="45"/>
      <c r="K77" s="45"/>
      <c r="L77" s="45"/>
      <c r="M77" s="45"/>
      <c r="N77" s="46"/>
      <c r="O77" s="45"/>
      <c r="P77" s="46"/>
      <c r="Q77" s="45"/>
      <c r="R77" s="47"/>
      <c r="S77" s="43"/>
      <c r="T77" s="45"/>
      <c r="U77" s="47"/>
      <c r="V77" s="45"/>
      <c r="W77" s="45"/>
      <c r="X77" s="45"/>
      <c r="Y77" s="45"/>
      <c r="Z77" s="45"/>
      <c r="AA77" s="45"/>
      <c r="AB77" s="45"/>
    </row>
    <row r="78" spans="1:28" ht="13.8">
      <c r="A78" s="43"/>
      <c r="B78" s="43"/>
      <c r="C78" s="43"/>
      <c r="D78" s="44"/>
      <c r="E78" s="43"/>
      <c r="F78" s="43"/>
      <c r="G78" s="43"/>
      <c r="H78" s="43"/>
      <c r="I78" s="45"/>
      <c r="J78" s="45"/>
      <c r="K78" s="45"/>
      <c r="L78" s="45"/>
      <c r="M78" s="45"/>
      <c r="N78" s="46"/>
      <c r="O78" s="45"/>
      <c r="P78" s="46"/>
      <c r="Q78" s="45"/>
      <c r="R78" s="47"/>
      <c r="S78" s="43"/>
      <c r="T78" s="45"/>
      <c r="U78" s="47"/>
      <c r="V78" s="45"/>
      <c r="W78" s="45"/>
      <c r="X78" s="45"/>
      <c r="Y78" s="45"/>
      <c r="Z78" s="45"/>
      <c r="AA78" s="45"/>
      <c r="AB78" s="45"/>
    </row>
    <row r="79" spans="1:28" ht="13.8">
      <c r="A79" s="43"/>
      <c r="B79" s="43"/>
      <c r="C79" s="43"/>
      <c r="D79" s="44"/>
      <c r="E79" s="43"/>
      <c r="F79" s="43"/>
      <c r="G79" s="43"/>
      <c r="H79" s="43"/>
      <c r="I79" s="45"/>
      <c r="J79" s="45"/>
      <c r="K79" s="45"/>
      <c r="L79" s="45"/>
      <c r="M79" s="45"/>
      <c r="N79" s="46"/>
      <c r="O79" s="45"/>
      <c r="P79" s="46"/>
      <c r="Q79" s="45"/>
      <c r="R79" s="47"/>
      <c r="S79" s="43"/>
      <c r="T79" s="45"/>
      <c r="U79" s="47"/>
      <c r="V79" s="45"/>
      <c r="W79" s="45"/>
      <c r="X79" s="45"/>
      <c r="Y79" s="45"/>
      <c r="Z79" s="45"/>
      <c r="AA79" s="45"/>
      <c r="AB79" s="45"/>
    </row>
    <row r="80" spans="1:28" ht="13.8">
      <c r="A80" s="43"/>
      <c r="B80" s="43"/>
      <c r="C80" s="43"/>
      <c r="D80" s="44"/>
      <c r="E80" s="43"/>
      <c r="F80" s="43"/>
      <c r="G80" s="43"/>
      <c r="H80" s="43"/>
      <c r="I80" s="45"/>
      <c r="J80" s="45"/>
      <c r="K80" s="45"/>
      <c r="L80" s="45"/>
      <c r="M80" s="45"/>
      <c r="N80" s="46"/>
      <c r="O80" s="45"/>
      <c r="P80" s="46"/>
      <c r="Q80" s="45"/>
      <c r="R80" s="47"/>
      <c r="S80" s="43"/>
      <c r="T80" s="45"/>
      <c r="U80" s="47"/>
      <c r="V80" s="45"/>
      <c r="W80" s="45"/>
      <c r="X80" s="45"/>
      <c r="Y80" s="45"/>
      <c r="Z80" s="45"/>
      <c r="AA80" s="45"/>
      <c r="AB80" s="45"/>
    </row>
    <row r="81" spans="1:28" ht="13.8">
      <c r="A81" s="43"/>
      <c r="B81" s="43"/>
      <c r="C81" s="43"/>
      <c r="D81" s="44"/>
      <c r="E81" s="43"/>
      <c r="F81" s="43"/>
      <c r="G81" s="43"/>
      <c r="H81" s="43"/>
      <c r="I81" s="45"/>
      <c r="J81" s="45"/>
      <c r="K81" s="45"/>
      <c r="L81" s="45"/>
      <c r="M81" s="45"/>
      <c r="N81" s="46"/>
      <c r="O81" s="45"/>
      <c r="P81" s="46"/>
      <c r="Q81" s="45"/>
      <c r="R81" s="47"/>
      <c r="S81" s="43"/>
      <c r="T81" s="45"/>
      <c r="U81" s="47"/>
      <c r="V81" s="45"/>
      <c r="W81" s="45"/>
      <c r="X81" s="45"/>
      <c r="Y81" s="45"/>
      <c r="Z81" s="45"/>
      <c r="AA81" s="45"/>
      <c r="AB81" s="45"/>
    </row>
    <row r="82" spans="1:28" ht="13.8">
      <c r="A82" s="43"/>
      <c r="B82" s="43"/>
      <c r="C82" s="43"/>
      <c r="D82" s="44"/>
      <c r="E82" s="43"/>
      <c r="F82" s="43"/>
      <c r="G82" s="43"/>
      <c r="H82" s="43"/>
      <c r="I82" s="45"/>
      <c r="J82" s="45"/>
      <c r="K82" s="45"/>
      <c r="L82" s="45"/>
      <c r="M82" s="45"/>
      <c r="N82" s="46"/>
      <c r="O82" s="45"/>
      <c r="P82" s="46"/>
      <c r="Q82" s="45"/>
      <c r="R82" s="47"/>
      <c r="S82" s="43"/>
      <c r="T82" s="45"/>
      <c r="U82" s="47"/>
      <c r="V82" s="45"/>
      <c r="W82" s="45"/>
      <c r="X82" s="45"/>
      <c r="Y82" s="45"/>
      <c r="Z82" s="45"/>
      <c r="AA82" s="45"/>
      <c r="AB82" s="45"/>
    </row>
    <row r="83" spans="1:28" ht="13.8">
      <c r="A83" s="43"/>
      <c r="B83" s="43"/>
      <c r="C83" s="43"/>
      <c r="D83" s="44"/>
      <c r="E83" s="43"/>
      <c r="F83" s="43"/>
      <c r="G83" s="43"/>
      <c r="H83" s="43"/>
      <c r="I83" s="45"/>
      <c r="J83" s="45"/>
      <c r="K83" s="45"/>
      <c r="L83" s="45"/>
      <c r="M83" s="45"/>
      <c r="N83" s="46"/>
      <c r="O83" s="45"/>
      <c r="P83" s="46"/>
      <c r="Q83" s="45"/>
      <c r="R83" s="47"/>
      <c r="S83" s="43"/>
      <c r="T83" s="45"/>
      <c r="U83" s="47"/>
      <c r="V83" s="45"/>
      <c r="W83" s="45"/>
      <c r="X83" s="45"/>
      <c r="Y83" s="45"/>
      <c r="Z83" s="45"/>
      <c r="AA83" s="45"/>
      <c r="AB83" s="45"/>
    </row>
    <row r="84" spans="1:28" ht="13.8">
      <c r="A84" s="43"/>
      <c r="B84" s="43"/>
      <c r="C84" s="43"/>
      <c r="D84" s="44"/>
      <c r="E84" s="43"/>
      <c r="F84" s="43"/>
      <c r="G84" s="43"/>
      <c r="H84" s="43"/>
      <c r="I84" s="45"/>
      <c r="J84" s="45"/>
      <c r="K84" s="45"/>
      <c r="L84" s="45"/>
      <c r="M84" s="45"/>
      <c r="N84" s="46"/>
      <c r="O84" s="45"/>
      <c r="P84" s="46"/>
      <c r="Q84" s="45"/>
      <c r="R84" s="47"/>
      <c r="S84" s="43"/>
      <c r="T84" s="45"/>
      <c r="U84" s="47"/>
      <c r="V84" s="45"/>
      <c r="W84" s="45"/>
      <c r="X84" s="45"/>
      <c r="Y84" s="45"/>
      <c r="Z84" s="45"/>
      <c r="AA84" s="45"/>
      <c r="AB84" s="45"/>
    </row>
    <row r="85" spans="1:28" ht="13.8">
      <c r="A85" s="43"/>
      <c r="B85" s="43"/>
      <c r="C85" s="43"/>
      <c r="D85" s="44"/>
      <c r="E85" s="43"/>
      <c r="F85" s="43"/>
      <c r="G85" s="43"/>
      <c r="H85" s="43"/>
      <c r="I85" s="45"/>
      <c r="J85" s="45"/>
      <c r="K85" s="45"/>
      <c r="L85" s="45"/>
      <c r="M85" s="45"/>
      <c r="N85" s="46"/>
      <c r="O85" s="45"/>
      <c r="P85" s="46"/>
      <c r="Q85" s="45"/>
      <c r="R85" s="47"/>
      <c r="S85" s="43"/>
      <c r="T85" s="45"/>
      <c r="U85" s="47"/>
      <c r="V85" s="45"/>
      <c r="W85" s="45"/>
      <c r="X85" s="45"/>
      <c r="Y85" s="45"/>
      <c r="Z85" s="45"/>
      <c r="AA85" s="45"/>
      <c r="AB85" s="45"/>
    </row>
    <row r="86" spans="1:28" ht="13.8">
      <c r="A86" s="43"/>
      <c r="B86" s="43"/>
      <c r="C86" s="43"/>
      <c r="D86" s="44"/>
      <c r="E86" s="43"/>
      <c r="F86" s="43"/>
      <c r="G86" s="43"/>
      <c r="H86" s="43"/>
      <c r="I86" s="45"/>
      <c r="J86" s="45"/>
      <c r="K86" s="45"/>
      <c r="L86" s="45"/>
      <c r="M86" s="45"/>
      <c r="N86" s="46"/>
      <c r="O86" s="45"/>
      <c r="P86" s="46"/>
      <c r="Q86" s="45"/>
      <c r="R86" s="47"/>
      <c r="S86" s="43"/>
      <c r="T86" s="45"/>
      <c r="U86" s="47"/>
      <c r="V86" s="45"/>
      <c r="W86" s="45"/>
      <c r="X86" s="45"/>
      <c r="Y86" s="45"/>
      <c r="Z86" s="45"/>
      <c r="AA86" s="45"/>
      <c r="AB86" s="45"/>
    </row>
    <row r="87" spans="1:28" ht="13.8">
      <c r="A87" s="43"/>
      <c r="B87" s="43"/>
      <c r="C87" s="43"/>
      <c r="D87" s="44"/>
      <c r="E87" s="43"/>
      <c r="F87" s="43"/>
      <c r="G87" s="43"/>
      <c r="H87" s="43"/>
      <c r="I87" s="45"/>
      <c r="J87" s="45"/>
      <c r="K87" s="45"/>
      <c r="L87" s="45"/>
      <c r="M87" s="45"/>
      <c r="N87" s="46"/>
      <c r="O87" s="45"/>
      <c r="P87" s="46"/>
      <c r="Q87" s="45"/>
      <c r="R87" s="47"/>
      <c r="S87" s="43"/>
      <c r="T87" s="45"/>
      <c r="U87" s="47"/>
      <c r="V87" s="45"/>
      <c r="W87" s="45"/>
      <c r="X87" s="45"/>
      <c r="Y87" s="45"/>
      <c r="Z87" s="45"/>
      <c r="AA87" s="45"/>
      <c r="AB87" s="45"/>
    </row>
    <row r="88" spans="1:28" ht="13.8">
      <c r="A88" s="43"/>
      <c r="B88" s="43"/>
      <c r="C88" s="43"/>
      <c r="D88" s="44"/>
      <c r="E88" s="43"/>
      <c r="F88" s="43"/>
      <c r="G88" s="43"/>
      <c r="H88" s="43"/>
      <c r="I88" s="45"/>
      <c r="J88" s="45"/>
      <c r="K88" s="45"/>
      <c r="L88" s="45"/>
      <c r="M88" s="45"/>
      <c r="N88" s="46"/>
      <c r="O88" s="45"/>
      <c r="P88" s="46"/>
      <c r="Q88" s="45"/>
      <c r="R88" s="47"/>
      <c r="S88" s="43"/>
      <c r="T88" s="45"/>
      <c r="U88" s="47"/>
      <c r="V88" s="45"/>
      <c r="W88" s="45"/>
      <c r="X88" s="45"/>
      <c r="Y88" s="45"/>
      <c r="Z88" s="45"/>
      <c r="AA88" s="45"/>
      <c r="AB88" s="45"/>
    </row>
    <row r="89" spans="1:28" ht="13.8">
      <c r="A89" s="43"/>
      <c r="B89" s="43"/>
      <c r="C89" s="43"/>
      <c r="D89" s="44"/>
      <c r="E89" s="43"/>
      <c r="F89" s="43"/>
      <c r="G89" s="43"/>
      <c r="H89" s="43"/>
      <c r="I89" s="45"/>
      <c r="J89" s="45"/>
      <c r="K89" s="45"/>
      <c r="L89" s="45"/>
      <c r="M89" s="45"/>
      <c r="N89" s="46"/>
      <c r="O89" s="45"/>
      <c r="P89" s="46"/>
      <c r="Q89" s="45"/>
      <c r="R89" s="47"/>
      <c r="S89" s="43"/>
      <c r="T89" s="45"/>
      <c r="U89" s="47"/>
      <c r="V89" s="45"/>
      <c r="W89" s="45"/>
      <c r="X89" s="45"/>
      <c r="Y89" s="45"/>
      <c r="Z89" s="45"/>
      <c r="AA89" s="45"/>
      <c r="AB89" s="45"/>
    </row>
    <row r="90" spans="1:28" ht="13.8">
      <c r="A90" s="43"/>
      <c r="B90" s="43"/>
      <c r="C90" s="43"/>
      <c r="D90" s="44"/>
      <c r="E90" s="43"/>
      <c r="F90" s="43"/>
      <c r="G90" s="43"/>
      <c r="H90" s="43"/>
      <c r="I90" s="45"/>
      <c r="J90" s="45"/>
      <c r="K90" s="45"/>
      <c r="L90" s="45"/>
      <c r="M90" s="45"/>
      <c r="N90" s="46"/>
      <c r="O90" s="45"/>
      <c r="P90" s="46"/>
      <c r="Q90" s="45"/>
      <c r="R90" s="47"/>
      <c r="S90" s="43"/>
      <c r="T90" s="45"/>
      <c r="U90" s="47"/>
      <c r="V90" s="45"/>
      <c r="W90" s="45"/>
      <c r="X90" s="45"/>
      <c r="Y90" s="45"/>
      <c r="Z90" s="45"/>
      <c r="AA90" s="45"/>
      <c r="AB90" s="45"/>
    </row>
    <row r="91" spans="1:28" ht="13.8">
      <c r="A91" s="43"/>
      <c r="B91" s="43"/>
      <c r="C91" s="43"/>
      <c r="D91" s="44"/>
      <c r="E91" s="43"/>
      <c r="F91" s="43"/>
      <c r="G91" s="43"/>
      <c r="H91" s="43"/>
      <c r="I91" s="45"/>
      <c r="J91" s="45"/>
      <c r="K91" s="45"/>
      <c r="L91" s="45"/>
      <c r="M91" s="45"/>
      <c r="N91" s="46"/>
      <c r="O91" s="45"/>
      <c r="P91" s="46"/>
      <c r="Q91" s="45"/>
      <c r="R91" s="47"/>
      <c r="S91" s="43"/>
      <c r="T91" s="45"/>
      <c r="U91" s="47"/>
      <c r="V91" s="45"/>
      <c r="W91" s="45"/>
      <c r="X91" s="45"/>
      <c r="Y91" s="45"/>
      <c r="Z91" s="45"/>
      <c r="AA91" s="45"/>
      <c r="AB91" s="45"/>
    </row>
    <row r="92" spans="1:28" ht="13.8">
      <c r="A92" s="43"/>
      <c r="B92" s="43"/>
      <c r="C92" s="43"/>
      <c r="D92" s="44"/>
      <c r="E92" s="43"/>
      <c r="F92" s="43"/>
      <c r="G92" s="43"/>
      <c r="H92" s="43"/>
      <c r="I92" s="45"/>
      <c r="J92" s="45"/>
      <c r="K92" s="45"/>
      <c r="L92" s="45"/>
      <c r="M92" s="45"/>
      <c r="N92" s="46"/>
      <c r="O92" s="45"/>
      <c r="P92" s="46"/>
      <c r="Q92" s="45"/>
      <c r="R92" s="47"/>
      <c r="S92" s="43"/>
      <c r="T92" s="45"/>
      <c r="U92" s="47"/>
      <c r="V92" s="45"/>
      <c r="W92" s="45"/>
      <c r="X92" s="45"/>
      <c r="Y92" s="45"/>
      <c r="Z92" s="45"/>
      <c r="AA92" s="45"/>
      <c r="AB92" s="45"/>
    </row>
    <row r="93" spans="1:28" ht="13.8">
      <c r="A93" s="43"/>
      <c r="B93" s="43"/>
      <c r="C93" s="43"/>
      <c r="D93" s="44"/>
      <c r="E93" s="43"/>
      <c r="F93" s="43"/>
      <c r="G93" s="43"/>
      <c r="H93" s="43"/>
      <c r="I93" s="45"/>
      <c r="J93" s="45"/>
      <c r="K93" s="45"/>
      <c r="L93" s="45"/>
      <c r="M93" s="45"/>
      <c r="N93" s="46"/>
      <c r="O93" s="45"/>
      <c r="P93" s="46"/>
      <c r="Q93" s="45"/>
      <c r="R93" s="47"/>
      <c r="S93" s="43"/>
      <c r="T93" s="45"/>
      <c r="U93" s="47"/>
      <c r="V93" s="45"/>
      <c r="W93" s="45"/>
      <c r="X93" s="45"/>
      <c r="Y93" s="45"/>
      <c r="Z93" s="45"/>
      <c r="AA93" s="45"/>
      <c r="AB93" s="45"/>
    </row>
    <row r="94" spans="1:28" ht="13.8">
      <c r="A94" s="43"/>
      <c r="B94" s="43"/>
      <c r="C94" s="43"/>
      <c r="D94" s="44"/>
      <c r="E94" s="43"/>
      <c r="F94" s="43"/>
      <c r="G94" s="43"/>
      <c r="H94" s="43"/>
      <c r="I94" s="45"/>
      <c r="J94" s="45"/>
      <c r="K94" s="45"/>
      <c r="L94" s="45"/>
      <c r="M94" s="45"/>
      <c r="N94" s="46"/>
      <c r="O94" s="45"/>
      <c r="P94" s="46"/>
      <c r="Q94" s="45"/>
      <c r="R94" s="47"/>
      <c r="S94" s="43"/>
      <c r="T94" s="45"/>
      <c r="U94" s="47"/>
      <c r="V94" s="45"/>
      <c r="W94" s="45"/>
      <c r="X94" s="45"/>
      <c r="Y94" s="45"/>
      <c r="Z94" s="45"/>
      <c r="AA94" s="45"/>
      <c r="AB94" s="45"/>
    </row>
    <row r="95" spans="1:28" ht="13.8">
      <c r="A95" s="43"/>
      <c r="B95" s="43"/>
      <c r="C95" s="43"/>
      <c r="D95" s="44"/>
      <c r="E95" s="43"/>
      <c r="F95" s="43"/>
      <c r="G95" s="43"/>
      <c r="H95" s="43"/>
      <c r="I95" s="45"/>
      <c r="J95" s="45"/>
      <c r="K95" s="45"/>
      <c r="L95" s="45"/>
      <c r="M95" s="45"/>
      <c r="N95" s="46"/>
      <c r="O95" s="45"/>
      <c r="P95" s="46"/>
      <c r="Q95" s="45"/>
      <c r="R95" s="47"/>
      <c r="S95" s="43"/>
      <c r="T95" s="45"/>
      <c r="U95" s="47"/>
      <c r="V95" s="45"/>
      <c r="W95" s="45"/>
      <c r="X95" s="45"/>
      <c r="Y95" s="45"/>
      <c r="Z95" s="45"/>
      <c r="AA95" s="45"/>
      <c r="AB95" s="45"/>
    </row>
    <row r="96" spans="1:28" ht="13.8">
      <c r="A96" s="43"/>
      <c r="B96" s="43"/>
      <c r="C96" s="43"/>
      <c r="D96" s="44"/>
      <c r="E96" s="43"/>
      <c r="F96" s="43"/>
      <c r="G96" s="43"/>
      <c r="H96" s="43"/>
      <c r="I96" s="45"/>
      <c r="J96" s="45"/>
      <c r="K96" s="45"/>
      <c r="L96" s="45"/>
      <c r="M96" s="45"/>
      <c r="N96" s="46"/>
      <c r="O96" s="45"/>
      <c r="P96" s="46"/>
      <c r="Q96" s="45"/>
      <c r="R96" s="47"/>
      <c r="S96" s="43"/>
      <c r="T96" s="45"/>
      <c r="U96" s="47"/>
      <c r="V96" s="45"/>
      <c r="W96" s="45"/>
      <c r="X96" s="45"/>
      <c r="Y96" s="45"/>
      <c r="Z96" s="45"/>
      <c r="AA96" s="45"/>
      <c r="AB96" s="45"/>
    </row>
    <row r="97" spans="1:28" ht="13.8">
      <c r="A97" s="43"/>
      <c r="B97" s="43"/>
      <c r="C97" s="43"/>
      <c r="D97" s="44"/>
      <c r="E97" s="43"/>
      <c r="F97" s="43"/>
      <c r="G97" s="43"/>
      <c r="H97" s="43"/>
      <c r="I97" s="45"/>
      <c r="J97" s="45"/>
      <c r="K97" s="45"/>
      <c r="L97" s="45"/>
      <c r="M97" s="45"/>
      <c r="N97" s="46"/>
      <c r="O97" s="45"/>
      <c r="P97" s="46"/>
      <c r="Q97" s="45"/>
      <c r="R97" s="47"/>
      <c r="S97" s="43"/>
      <c r="T97" s="45"/>
      <c r="U97" s="47"/>
      <c r="V97" s="45"/>
      <c r="W97" s="45"/>
      <c r="X97" s="45"/>
      <c r="Y97" s="45"/>
      <c r="Z97" s="45"/>
      <c r="AA97" s="45"/>
      <c r="AB97" s="45"/>
    </row>
    <row r="98" spans="1:28" ht="13.8">
      <c r="A98" s="43"/>
      <c r="B98" s="43"/>
      <c r="C98" s="43"/>
      <c r="D98" s="44"/>
      <c r="E98" s="43"/>
      <c r="F98" s="43"/>
      <c r="G98" s="43"/>
      <c r="H98" s="43"/>
      <c r="I98" s="45"/>
      <c r="J98" s="45"/>
      <c r="K98" s="45"/>
      <c r="L98" s="45"/>
      <c r="M98" s="45"/>
      <c r="N98" s="46"/>
      <c r="O98" s="45"/>
      <c r="P98" s="46"/>
      <c r="Q98" s="45"/>
      <c r="R98" s="47"/>
      <c r="S98" s="43"/>
      <c r="T98" s="45"/>
      <c r="U98" s="47"/>
      <c r="V98" s="45"/>
      <c r="W98" s="45"/>
      <c r="X98" s="45"/>
      <c r="Y98" s="45"/>
      <c r="Z98" s="45"/>
      <c r="AA98" s="45"/>
      <c r="AB98" s="45"/>
    </row>
    <row r="99" spans="1:28" ht="13.8">
      <c r="A99" s="43"/>
      <c r="B99" s="43"/>
      <c r="C99" s="43"/>
      <c r="D99" s="44"/>
      <c r="E99" s="43"/>
      <c r="F99" s="43"/>
      <c r="G99" s="43"/>
      <c r="H99" s="43"/>
      <c r="I99" s="45"/>
      <c r="J99" s="45"/>
      <c r="K99" s="45"/>
      <c r="L99" s="45"/>
      <c r="M99" s="45"/>
      <c r="N99" s="46"/>
      <c r="O99" s="45"/>
      <c r="P99" s="46"/>
      <c r="Q99" s="45"/>
      <c r="R99" s="47"/>
      <c r="S99" s="43"/>
      <c r="T99" s="45"/>
      <c r="U99" s="47"/>
      <c r="V99" s="45"/>
      <c r="W99" s="45"/>
      <c r="X99" s="45"/>
      <c r="Y99" s="45"/>
      <c r="Z99" s="45"/>
      <c r="AA99" s="45"/>
      <c r="AB99" s="45"/>
    </row>
    <row r="100" spans="1:28" ht="13.8">
      <c r="A100" s="43"/>
      <c r="B100" s="43"/>
      <c r="C100" s="43"/>
      <c r="D100" s="44"/>
      <c r="E100" s="43"/>
      <c r="F100" s="43"/>
      <c r="G100" s="43"/>
      <c r="H100" s="43"/>
      <c r="I100" s="45"/>
      <c r="J100" s="45"/>
      <c r="K100" s="45"/>
      <c r="L100" s="45"/>
      <c r="M100" s="45"/>
      <c r="N100" s="46"/>
      <c r="O100" s="45"/>
      <c r="P100" s="46"/>
      <c r="Q100" s="45"/>
      <c r="R100" s="47"/>
      <c r="S100" s="43"/>
      <c r="T100" s="45"/>
      <c r="U100" s="47"/>
      <c r="V100" s="45"/>
      <c r="W100" s="45"/>
      <c r="X100" s="45"/>
      <c r="Y100" s="45"/>
      <c r="Z100" s="45"/>
      <c r="AA100" s="45"/>
      <c r="AB100" s="45"/>
    </row>
    <row r="101" spans="1:28" ht="13.8">
      <c r="A101" s="43"/>
      <c r="B101" s="43"/>
      <c r="C101" s="43"/>
      <c r="D101" s="44"/>
      <c r="E101" s="43"/>
      <c r="F101" s="43"/>
      <c r="G101" s="43"/>
      <c r="H101" s="43"/>
      <c r="I101" s="45"/>
      <c r="J101" s="45"/>
      <c r="K101" s="45"/>
      <c r="L101" s="45"/>
      <c r="M101" s="45"/>
      <c r="N101" s="46"/>
      <c r="O101" s="45"/>
      <c r="P101" s="46"/>
      <c r="Q101" s="45"/>
      <c r="R101" s="47"/>
      <c r="S101" s="43"/>
      <c r="T101" s="45"/>
      <c r="U101" s="47"/>
      <c r="V101" s="45"/>
      <c r="W101" s="45"/>
      <c r="X101" s="45"/>
      <c r="Y101" s="45"/>
      <c r="Z101" s="45"/>
      <c r="AA101" s="45"/>
      <c r="AB101" s="45"/>
    </row>
    <row r="102" spans="1:28" ht="13.8">
      <c r="A102" s="43"/>
      <c r="B102" s="43"/>
      <c r="C102" s="43"/>
      <c r="D102" s="44"/>
      <c r="E102" s="43"/>
      <c r="F102" s="43"/>
      <c r="G102" s="43"/>
      <c r="H102" s="43"/>
      <c r="I102" s="45"/>
      <c r="J102" s="45"/>
      <c r="K102" s="45"/>
      <c r="L102" s="45"/>
      <c r="M102" s="45"/>
      <c r="N102" s="46"/>
      <c r="O102" s="45"/>
      <c r="P102" s="46"/>
      <c r="Q102" s="45"/>
      <c r="R102" s="47"/>
      <c r="S102" s="43"/>
      <c r="T102" s="45"/>
      <c r="U102" s="47"/>
      <c r="V102" s="45"/>
      <c r="W102" s="45"/>
      <c r="X102" s="45"/>
      <c r="Y102" s="45"/>
      <c r="Z102" s="45"/>
      <c r="AA102" s="45"/>
      <c r="AB102" s="45"/>
    </row>
    <row r="103" spans="1:28" ht="13.8">
      <c r="A103" s="43"/>
      <c r="B103" s="43"/>
      <c r="C103" s="43"/>
      <c r="D103" s="44"/>
      <c r="E103" s="43"/>
      <c r="F103" s="43"/>
      <c r="G103" s="43"/>
      <c r="H103" s="43"/>
      <c r="I103" s="45"/>
      <c r="J103" s="45"/>
      <c r="K103" s="45"/>
      <c r="L103" s="45"/>
      <c r="M103" s="45"/>
      <c r="N103" s="46"/>
      <c r="O103" s="45"/>
      <c r="P103" s="46"/>
      <c r="Q103" s="45"/>
      <c r="R103" s="47"/>
      <c r="S103" s="43"/>
      <c r="T103" s="45"/>
      <c r="U103" s="47"/>
      <c r="V103" s="45"/>
      <c r="W103" s="45"/>
      <c r="X103" s="45"/>
      <c r="Y103" s="45"/>
      <c r="Z103" s="45"/>
      <c r="AA103" s="45"/>
      <c r="AB103" s="45"/>
    </row>
    <row r="104" spans="1:28" ht="13.8">
      <c r="A104" s="43"/>
      <c r="B104" s="43"/>
      <c r="C104" s="43"/>
      <c r="D104" s="44"/>
      <c r="E104" s="43"/>
      <c r="F104" s="43"/>
      <c r="G104" s="43"/>
      <c r="H104" s="43"/>
      <c r="I104" s="45"/>
      <c r="J104" s="45"/>
      <c r="K104" s="45"/>
      <c r="L104" s="45"/>
      <c r="M104" s="45"/>
      <c r="N104" s="46"/>
      <c r="O104" s="45"/>
      <c r="P104" s="46"/>
      <c r="Q104" s="45"/>
      <c r="R104" s="47"/>
      <c r="S104" s="43"/>
      <c r="T104" s="45"/>
      <c r="U104" s="47"/>
      <c r="V104" s="45"/>
      <c r="W104" s="45"/>
      <c r="X104" s="45"/>
      <c r="Y104" s="45"/>
      <c r="Z104" s="45"/>
      <c r="AA104" s="45"/>
      <c r="AB104" s="45"/>
    </row>
    <row r="105" spans="1:28" ht="13.8">
      <c r="A105" s="43"/>
      <c r="B105" s="43"/>
      <c r="C105" s="43"/>
      <c r="D105" s="44"/>
      <c r="E105" s="43"/>
      <c r="F105" s="43"/>
      <c r="G105" s="43"/>
      <c r="H105" s="43"/>
      <c r="I105" s="45"/>
      <c r="J105" s="45"/>
      <c r="K105" s="45"/>
      <c r="L105" s="45"/>
      <c r="M105" s="45"/>
      <c r="N105" s="46"/>
      <c r="O105" s="45"/>
      <c r="P105" s="46"/>
      <c r="Q105" s="45"/>
      <c r="R105" s="47"/>
      <c r="S105" s="43"/>
      <c r="T105" s="45"/>
      <c r="U105" s="47"/>
      <c r="V105" s="45"/>
      <c r="W105" s="45"/>
      <c r="X105" s="45"/>
      <c r="Y105" s="45"/>
      <c r="Z105" s="45"/>
      <c r="AA105" s="45"/>
      <c r="AB105" s="45"/>
    </row>
    <row r="106" spans="1:28" ht="13.8">
      <c r="A106" s="43"/>
      <c r="B106" s="43"/>
      <c r="C106" s="43"/>
      <c r="D106" s="44"/>
      <c r="E106" s="43"/>
      <c r="F106" s="43"/>
      <c r="G106" s="43"/>
      <c r="H106" s="43"/>
      <c r="I106" s="45"/>
      <c r="J106" s="45"/>
      <c r="K106" s="45"/>
      <c r="L106" s="45"/>
      <c r="M106" s="45"/>
      <c r="N106" s="46"/>
      <c r="O106" s="45"/>
      <c r="P106" s="46"/>
      <c r="Q106" s="45"/>
      <c r="R106" s="47"/>
      <c r="S106" s="43"/>
      <c r="T106" s="45"/>
      <c r="U106" s="47"/>
      <c r="V106" s="45"/>
      <c r="W106" s="45"/>
      <c r="X106" s="45"/>
      <c r="Y106" s="45"/>
      <c r="Z106" s="45"/>
      <c r="AA106" s="45"/>
      <c r="AB106" s="45"/>
    </row>
    <row r="107" spans="1:28" ht="13.8">
      <c r="A107" s="43"/>
      <c r="B107" s="43"/>
      <c r="C107" s="43"/>
      <c r="D107" s="44"/>
      <c r="E107" s="43"/>
      <c r="F107" s="43"/>
      <c r="G107" s="43"/>
      <c r="H107" s="43"/>
      <c r="I107" s="45"/>
      <c r="J107" s="45"/>
      <c r="K107" s="45"/>
      <c r="L107" s="45"/>
      <c r="M107" s="45"/>
      <c r="N107" s="46"/>
      <c r="O107" s="45"/>
      <c r="P107" s="46"/>
      <c r="Q107" s="45"/>
      <c r="R107" s="47"/>
      <c r="S107" s="43"/>
      <c r="T107" s="45"/>
      <c r="U107" s="47"/>
      <c r="V107" s="45"/>
      <c r="W107" s="45"/>
      <c r="X107" s="45"/>
      <c r="Y107" s="45"/>
      <c r="Z107" s="45"/>
      <c r="AA107" s="45"/>
      <c r="AB107" s="45"/>
    </row>
    <row r="108" spans="1:28" ht="13.8">
      <c r="A108" s="43"/>
      <c r="B108" s="43"/>
      <c r="C108" s="43"/>
      <c r="D108" s="44"/>
      <c r="E108" s="43"/>
      <c r="F108" s="43"/>
      <c r="G108" s="43"/>
      <c r="H108" s="43"/>
      <c r="I108" s="45"/>
      <c r="J108" s="45"/>
      <c r="K108" s="45"/>
      <c r="L108" s="45"/>
      <c r="M108" s="45"/>
      <c r="N108" s="46"/>
      <c r="O108" s="45"/>
      <c r="P108" s="46"/>
      <c r="Q108" s="45"/>
      <c r="R108" s="47"/>
      <c r="S108" s="43"/>
      <c r="T108" s="45"/>
      <c r="U108" s="47"/>
      <c r="V108" s="45"/>
      <c r="W108" s="45"/>
      <c r="X108" s="45"/>
      <c r="Y108" s="45"/>
      <c r="Z108" s="45"/>
      <c r="AA108" s="45"/>
      <c r="AB108" s="45"/>
    </row>
    <row r="109" spans="1:28" ht="13.8">
      <c r="A109" s="43"/>
      <c r="B109" s="43"/>
      <c r="C109" s="43"/>
      <c r="D109" s="44"/>
      <c r="E109" s="43"/>
      <c r="F109" s="43"/>
      <c r="G109" s="43"/>
      <c r="H109" s="43"/>
      <c r="I109" s="45"/>
      <c r="J109" s="45"/>
      <c r="K109" s="45"/>
      <c r="L109" s="45"/>
      <c r="M109" s="45"/>
      <c r="N109" s="46"/>
      <c r="O109" s="45"/>
      <c r="P109" s="46"/>
      <c r="Q109" s="45"/>
      <c r="R109" s="47"/>
      <c r="S109" s="43"/>
      <c r="T109" s="45"/>
      <c r="U109" s="47"/>
      <c r="V109" s="45"/>
      <c r="W109" s="45"/>
      <c r="X109" s="45"/>
      <c r="Y109" s="45"/>
      <c r="Z109" s="45"/>
      <c r="AA109" s="45"/>
      <c r="AB109" s="45"/>
    </row>
    <row r="110" spans="1:28" ht="13.8">
      <c r="A110" s="43"/>
      <c r="B110" s="43"/>
      <c r="C110" s="43"/>
      <c r="D110" s="44"/>
      <c r="E110" s="43"/>
      <c r="F110" s="43"/>
      <c r="G110" s="43"/>
      <c r="H110" s="43"/>
      <c r="I110" s="45"/>
      <c r="J110" s="45"/>
      <c r="K110" s="45"/>
      <c r="L110" s="45"/>
      <c r="M110" s="45"/>
      <c r="N110" s="46"/>
      <c r="O110" s="45"/>
      <c r="P110" s="46"/>
      <c r="Q110" s="45"/>
      <c r="R110" s="47"/>
      <c r="S110" s="43"/>
      <c r="T110" s="45"/>
      <c r="U110" s="47"/>
      <c r="V110" s="45"/>
      <c r="W110" s="45"/>
      <c r="X110" s="45"/>
      <c r="Y110" s="45"/>
      <c r="Z110" s="45"/>
      <c r="AA110" s="45"/>
      <c r="AB110" s="45"/>
    </row>
    <row r="111" spans="1:28" ht="13.8">
      <c r="A111" s="43"/>
      <c r="B111" s="43"/>
      <c r="C111" s="43"/>
      <c r="D111" s="44"/>
      <c r="E111" s="43"/>
      <c r="F111" s="43"/>
      <c r="G111" s="43"/>
      <c r="H111" s="43"/>
      <c r="I111" s="45"/>
      <c r="J111" s="45"/>
      <c r="K111" s="45"/>
      <c r="L111" s="45"/>
      <c r="M111" s="45"/>
      <c r="N111" s="46"/>
      <c r="O111" s="45"/>
      <c r="P111" s="46"/>
      <c r="Q111" s="45"/>
      <c r="R111" s="47"/>
      <c r="S111" s="43"/>
      <c r="T111" s="45"/>
      <c r="U111" s="47"/>
      <c r="V111" s="45"/>
      <c r="W111" s="45"/>
      <c r="X111" s="45"/>
      <c r="Y111" s="45"/>
      <c r="Z111" s="45"/>
      <c r="AA111" s="45"/>
      <c r="AB111" s="45"/>
    </row>
    <row r="112" spans="1:28" ht="13.8">
      <c r="A112" s="43"/>
      <c r="B112" s="43"/>
      <c r="C112" s="43"/>
      <c r="D112" s="44"/>
      <c r="E112" s="43"/>
      <c r="F112" s="43"/>
      <c r="G112" s="43"/>
      <c r="H112" s="43"/>
      <c r="I112" s="45"/>
      <c r="J112" s="45"/>
      <c r="K112" s="45"/>
      <c r="L112" s="45"/>
      <c r="M112" s="45"/>
      <c r="N112" s="46"/>
      <c r="O112" s="45"/>
      <c r="P112" s="46"/>
      <c r="Q112" s="45"/>
      <c r="R112" s="47"/>
      <c r="S112" s="43"/>
      <c r="T112" s="45"/>
      <c r="U112" s="47"/>
      <c r="V112" s="45"/>
      <c r="W112" s="45"/>
      <c r="X112" s="45"/>
      <c r="Y112" s="45"/>
      <c r="Z112" s="45"/>
      <c r="AA112" s="45"/>
      <c r="AB112" s="45"/>
    </row>
    <row r="113" spans="1:28" ht="13.8">
      <c r="A113" s="43"/>
      <c r="B113" s="43"/>
      <c r="C113" s="43"/>
      <c r="D113" s="44"/>
      <c r="E113" s="43"/>
      <c r="F113" s="43"/>
      <c r="G113" s="43"/>
      <c r="H113" s="43"/>
      <c r="I113" s="45"/>
      <c r="J113" s="45"/>
      <c r="K113" s="45"/>
      <c r="L113" s="45"/>
      <c r="M113" s="45"/>
      <c r="N113" s="46"/>
      <c r="O113" s="45"/>
      <c r="P113" s="46"/>
      <c r="Q113" s="45"/>
      <c r="R113" s="47"/>
      <c r="S113" s="43"/>
      <c r="T113" s="45"/>
      <c r="U113" s="47"/>
      <c r="V113" s="45"/>
      <c r="W113" s="45"/>
      <c r="X113" s="45"/>
      <c r="Y113" s="45"/>
      <c r="Z113" s="45"/>
      <c r="AA113" s="45"/>
      <c r="AB113" s="45"/>
    </row>
    <row r="114" spans="1:28" ht="13.8">
      <c r="A114" s="43"/>
      <c r="B114" s="43"/>
      <c r="C114" s="43"/>
      <c r="D114" s="44"/>
      <c r="E114" s="43"/>
      <c r="F114" s="43"/>
      <c r="G114" s="43"/>
      <c r="H114" s="43"/>
      <c r="I114" s="45"/>
      <c r="J114" s="45"/>
      <c r="K114" s="45"/>
      <c r="L114" s="45"/>
      <c r="M114" s="45"/>
      <c r="N114" s="46"/>
      <c r="O114" s="45"/>
      <c r="P114" s="46"/>
      <c r="Q114" s="45"/>
      <c r="R114" s="47"/>
      <c r="S114" s="43"/>
      <c r="T114" s="45"/>
      <c r="U114" s="47"/>
      <c r="V114" s="45"/>
      <c r="W114" s="45"/>
      <c r="X114" s="45"/>
      <c r="Y114" s="45"/>
      <c r="Z114" s="45"/>
      <c r="AA114" s="45"/>
      <c r="AB114" s="45"/>
    </row>
    <row r="115" spans="1:28" ht="13.8">
      <c r="A115" s="43"/>
      <c r="B115" s="43"/>
      <c r="C115" s="43"/>
      <c r="D115" s="44"/>
      <c r="E115" s="43"/>
      <c r="F115" s="43"/>
      <c r="G115" s="43"/>
      <c r="H115" s="43"/>
      <c r="I115" s="45"/>
      <c r="J115" s="45"/>
      <c r="K115" s="45"/>
      <c r="L115" s="45"/>
      <c r="M115" s="45"/>
      <c r="N115" s="46"/>
      <c r="O115" s="45"/>
      <c r="P115" s="46"/>
      <c r="Q115" s="45"/>
      <c r="R115" s="47"/>
      <c r="S115" s="43"/>
      <c r="T115" s="45"/>
      <c r="U115" s="47"/>
      <c r="V115" s="45"/>
      <c r="W115" s="45"/>
      <c r="X115" s="45"/>
      <c r="Y115" s="45"/>
      <c r="Z115" s="45"/>
      <c r="AA115" s="45"/>
      <c r="AB115" s="45"/>
    </row>
    <row r="116" spans="1:28" ht="13.8">
      <c r="A116" s="43"/>
      <c r="B116" s="43"/>
      <c r="C116" s="43"/>
      <c r="D116" s="44"/>
      <c r="E116" s="43"/>
      <c r="F116" s="43"/>
      <c r="G116" s="43"/>
      <c r="H116" s="43"/>
      <c r="I116" s="45"/>
      <c r="J116" s="45"/>
      <c r="K116" s="45"/>
      <c r="L116" s="45"/>
      <c r="M116" s="45"/>
      <c r="N116" s="46"/>
      <c r="O116" s="45"/>
      <c r="P116" s="46"/>
      <c r="Q116" s="45"/>
      <c r="R116" s="47"/>
      <c r="S116" s="43"/>
      <c r="T116" s="45"/>
      <c r="U116" s="47"/>
      <c r="V116" s="45"/>
      <c r="W116" s="45"/>
      <c r="X116" s="45"/>
      <c r="Y116" s="45"/>
      <c r="Z116" s="45"/>
      <c r="AA116" s="45"/>
      <c r="AB116" s="45"/>
    </row>
    <row r="117" spans="1:28" ht="13.8">
      <c r="A117" s="43"/>
      <c r="B117" s="43"/>
      <c r="C117" s="43"/>
      <c r="D117" s="44"/>
      <c r="E117" s="43"/>
      <c r="F117" s="43"/>
      <c r="G117" s="43"/>
      <c r="H117" s="43"/>
      <c r="I117" s="45"/>
      <c r="J117" s="45"/>
      <c r="K117" s="45"/>
      <c r="L117" s="45"/>
      <c r="M117" s="45"/>
      <c r="N117" s="46"/>
      <c r="O117" s="45"/>
      <c r="P117" s="46"/>
      <c r="Q117" s="45"/>
      <c r="R117" s="47"/>
      <c r="S117" s="43"/>
      <c r="T117" s="45"/>
      <c r="U117" s="47"/>
      <c r="V117" s="45"/>
      <c r="W117" s="45"/>
      <c r="X117" s="45"/>
      <c r="Y117" s="45"/>
      <c r="Z117" s="45"/>
      <c r="AA117" s="45"/>
      <c r="AB117" s="45"/>
    </row>
    <row r="118" spans="1:28" ht="13.8">
      <c r="A118" s="43"/>
      <c r="B118" s="43"/>
      <c r="C118" s="43"/>
      <c r="D118" s="44"/>
      <c r="E118" s="43"/>
      <c r="F118" s="43"/>
      <c r="G118" s="43"/>
      <c r="H118" s="43"/>
      <c r="I118" s="45"/>
      <c r="J118" s="45"/>
      <c r="K118" s="45"/>
      <c r="L118" s="45"/>
      <c r="M118" s="45"/>
      <c r="N118" s="46"/>
      <c r="O118" s="45"/>
      <c r="P118" s="46"/>
      <c r="Q118" s="45"/>
      <c r="R118" s="47"/>
      <c r="S118" s="43"/>
      <c r="T118" s="45"/>
      <c r="U118" s="47"/>
      <c r="V118" s="45"/>
      <c r="W118" s="45"/>
      <c r="X118" s="45"/>
      <c r="Y118" s="45"/>
      <c r="Z118" s="45"/>
      <c r="AA118" s="45"/>
      <c r="AB118" s="45"/>
    </row>
    <row r="119" spans="1:28" ht="13.8">
      <c r="A119" s="43"/>
      <c r="B119" s="43"/>
      <c r="C119" s="43"/>
      <c r="D119" s="44"/>
      <c r="E119" s="43"/>
      <c r="F119" s="43"/>
      <c r="G119" s="43"/>
      <c r="H119" s="43"/>
      <c r="I119" s="45"/>
      <c r="J119" s="45"/>
      <c r="K119" s="45"/>
      <c r="L119" s="45"/>
      <c r="M119" s="45"/>
      <c r="N119" s="46"/>
      <c r="O119" s="45"/>
      <c r="P119" s="46"/>
      <c r="Q119" s="45"/>
      <c r="R119" s="47"/>
      <c r="S119" s="43"/>
      <c r="T119" s="45"/>
      <c r="U119" s="47"/>
      <c r="V119" s="45"/>
      <c r="W119" s="45"/>
      <c r="X119" s="45"/>
      <c r="Y119" s="45"/>
      <c r="Z119" s="45"/>
      <c r="AA119" s="45"/>
      <c r="AB119" s="45"/>
    </row>
    <row r="120" spans="1:28" ht="13.8">
      <c r="A120" s="43"/>
      <c r="B120" s="43"/>
      <c r="C120" s="43"/>
      <c r="D120" s="44"/>
      <c r="E120" s="43"/>
      <c r="F120" s="43"/>
      <c r="G120" s="43"/>
      <c r="H120" s="43"/>
      <c r="I120" s="45"/>
      <c r="J120" s="45"/>
      <c r="K120" s="45"/>
      <c r="L120" s="45"/>
      <c r="M120" s="45"/>
      <c r="N120" s="46"/>
      <c r="O120" s="45"/>
      <c r="P120" s="46"/>
      <c r="Q120" s="45"/>
      <c r="R120" s="47"/>
      <c r="S120" s="43"/>
      <c r="T120" s="45"/>
      <c r="U120" s="47"/>
      <c r="V120" s="45"/>
      <c r="W120" s="45"/>
      <c r="X120" s="45"/>
      <c r="Y120" s="45"/>
      <c r="Z120" s="45"/>
      <c r="AA120" s="45"/>
      <c r="AB120" s="45"/>
    </row>
    <row r="121" spans="1:28" ht="13.8">
      <c r="A121" s="43"/>
      <c r="B121" s="43"/>
      <c r="C121" s="43"/>
      <c r="D121" s="44"/>
      <c r="E121" s="43"/>
      <c r="F121" s="43"/>
      <c r="G121" s="43"/>
      <c r="H121" s="43"/>
      <c r="I121" s="45"/>
      <c r="J121" s="45"/>
      <c r="K121" s="45"/>
      <c r="L121" s="45"/>
      <c r="M121" s="45"/>
      <c r="N121" s="46"/>
      <c r="O121" s="45"/>
      <c r="P121" s="46"/>
      <c r="Q121" s="45"/>
      <c r="R121" s="47"/>
      <c r="S121" s="43"/>
      <c r="T121" s="45"/>
      <c r="U121" s="47"/>
      <c r="V121" s="45"/>
      <c r="W121" s="45"/>
      <c r="X121" s="45"/>
      <c r="Y121" s="45"/>
      <c r="Z121" s="45"/>
      <c r="AA121" s="45"/>
      <c r="AB121" s="45"/>
    </row>
    <row r="122" spans="1:28" ht="13.8">
      <c r="A122" s="43"/>
      <c r="B122" s="43"/>
      <c r="C122" s="43"/>
      <c r="D122" s="44"/>
      <c r="E122" s="43"/>
      <c r="F122" s="43"/>
      <c r="G122" s="43"/>
      <c r="H122" s="43"/>
      <c r="I122" s="45"/>
      <c r="J122" s="45"/>
      <c r="K122" s="45"/>
      <c r="L122" s="45"/>
      <c r="M122" s="45"/>
      <c r="N122" s="46"/>
      <c r="O122" s="45"/>
      <c r="P122" s="46"/>
      <c r="Q122" s="45"/>
      <c r="R122" s="47"/>
      <c r="S122" s="43"/>
      <c r="T122" s="45"/>
      <c r="U122" s="47"/>
      <c r="V122" s="45"/>
      <c r="W122" s="45"/>
      <c r="X122" s="45"/>
      <c r="Y122" s="45"/>
      <c r="Z122" s="45"/>
      <c r="AA122" s="45"/>
      <c r="AB122" s="45"/>
    </row>
  </sheetData>
  <conditionalFormatting sqref="Y2:Z14 AA2:AB57 Y16:Z28 Y30:Z41 Y43:Z57">
    <cfRule type="cellIs" dxfId="4" priority="3" operator="equal">
      <formula>"Same"</formula>
    </cfRule>
  </conditionalFormatting>
  <conditionalFormatting sqref="Y2:Z14 AA2:AB58 Y16:Z28 Y30:Z41 Y43:Z57">
    <cfRule type="expression" dxfId="3" priority="1">
      <formula>Y2="Improved"</formula>
    </cfRule>
    <cfRule type="expression" dxfId="2" priority="2">
      <formula>Y2="Declined"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998"/>
  <sheetViews>
    <sheetView tabSelected="1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D2" sqref="D2"/>
    </sheetView>
  </sheetViews>
  <sheetFormatPr defaultColWidth="12.6640625" defaultRowHeight="15.75" customHeight="1"/>
  <cols>
    <col min="1" max="1" width="9.109375" customWidth="1"/>
    <col min="2" max="2" width="6.33203125" customWidth="1"/>
    <col min="3" max="3" width="9.77734375" customWidth="1"/>
    <col min="4" max="4" width="17.109375" customWidth="1"/>
    <col min="5" max="5" width="18.44140625" customWidth="1"/>
    <col min="6" max="6" width="9.44140625" customWidth="1"/>
    <col min="7" max="7" width="9.109375" customWidth="1"/>
    <col min="8" max="8" width="5.109375" customWidth="1"/>
    <col min="9" max="9" width="9" customWidth="1"/>
    <col min="10" max="10" width="4.6640625" customWidth="1"/>
    <col min="11" max="11" width="7.77734375" customWidth="1"/>
    <col min="12" max="12" width="4.6640625" customWidth="1"/>
    <col min="13" max="13" width="7.44140625" customWidth="1"/>
    <col min="14" max="14" width="4.44140625" customWidth="1"/>
    <col min="15" max="15" width="10.6640625" customWidth="1"/>
    <col min="16" max="16" width="12.109375" customWidth="1"/>
    <col min="17" max="17" width="10.33203125" customWidth="1"/>
    <col min="18" max="18" width="11.109375" customWidth="1"/>
    <col min="19" max="19" width="8.6640625" customWidth="1"/>
    <col min="20" max="20" width="8.109375" customWidth="1"/>
    <col min="21" max="21" width="20.109375" customWidth="1"/>
    <col min="22" max="25" width="12.109375" customWidth="1"/>
    <col min="26" max="26" width="73.33203125" bestFit="1" customWidth="1"/>
  </cols>
  <sheetData>
    <row r="1" spans="1:32" ht="42" customHeight="1">
      <c r="A1" s="72" t="s">
        <v>60</v>
      </c>
      <c r="B1" s="72" t="s">
        <v>61</v>
      </c>
      <c r="C1" s="73" t="s">
        <v>0</v>
      </c>
      <c r="D1" s="73" t="s">
        <v>1</v>
      </c>
      <c r="E1" s="73" t="s">
        <v>2</v>
      </c>
      <c r="F1" s="73" t="s">
        <v>3</v>
      </c>
      <c r="G1" s="49" t="s">
        <v>63</v>
      </c>
      <c r="H1" s="50" t="s">
        <v>64</v>
      </c>
      <c r="I1" s="49" t="s">
        <v>65</v>
      </c>
      <c r="J1" s="50" t="s">
        <v>66</v>
      </c>
      <c r="K1" s="49" t="s">
        <v>67</v>
      </c>
      <c r="L1" s="50" t="s">
        <v>68</v>
      </c>
      <c r="M1" s="49" t="s">
        <v>69</v>
      </c>
      <c r="N1" s="50" t="s">
        <v>70</v>
      </c>
      <c r="O1" s="51" t="s">
        <v>71</v>
      </c>
      <c r="P1" s="52" t="s">
        <v>72</v>
      </c>
      <c r="Q1" s="13" t="s">
        <v>88</v>
      </c>
      <c r="R1" s="14" t="s">
        <v>76</v>
      </c>
      <c r="S1" s="53" t="s">
        <v>89</v>
      </c>
      <c r="T1" s="54" t="s">
        <v>90</v>
      </c>
      <c r="U1" s="55" t="s">
        <v>91</v>
      </c>
      <c r="V1" s="55" t="s">
        <v>92</v>
      </c>
      <c r="W1" s="56" t="s">
        <v>93</v>
      </c>
      <c r="X1" s="57" t="s">
        <v>94</v>
      </c>
      <c r="Y1" s="57" t="s">
        <v>95</v>
      </c>
      <c r="Z1" s="74" t="s">
        <v>73</v>
      </c>
      <c r="AA1" s="58"/>
    </row>
    <row r="2" spans="1:32" ht="15.75" customHeight="1">
      <c r="A2" s="59" t="s">
        <v>80</v>
      </c>
      <c r="B2" s="59" t="s">
        <v>96</v>
      </c>
      <c r="C2" s="44">
        <v>0</v>
      </c>
      <c r="D2" s="75" t="s">
        <v>99</v>
      </c>
      <c r="E2" s="17" t="s">
        <v>100</v>
      </c>
      <c r="F2" s="19" t="s">
        <v>3</v>
      </c>
      <c r="G2" s="28">
        <v>6.5</v>
      </c>
      <c r="H2" s="28">
        <f t="shared" ref="H2:H14" si="0">(G2/10)*100</f>
        <v>65</v>
      </c>
      <c r="I2" s="28">
        <v>8</v>
      </c>
      <c r="J2" s="28">
        <f t="shared" ref="J2:J14" si="1">(I2/20)*100</f>
        <v>40</v>
      </c>
      <c r="K2" s="28">
        <v>11</v>
      </c>
      <c r="L2" s="28">
        <f t="shared" ref="L2:L14" si="2">(K2/20)*100</f>
        <v>55.000000000000007</v>
      </c>
      <c r="M2" s="28">
        <v>6</v>
      </c>
      <c r="N2" s="28">
        <f t="shared" ref="N2:N14" si="3">(M2/10)*100</f>
        <v>60</v>
      </c>
      <c r="O2" s="60">
        <f>(SUM(G2,I2,K2,M2)/60)</f>
        <v>0.52500000000000002</v>
      </c>
      <c r="P2" s="27">
        <f>(H2+J2+L2+N2)/4</f>
        <v>55</v>
      </c>
      <c r="Q2" s="28">
        <v>67.94</v>
      </c>
      <c r="R2" s="29" cm="1">
        <f t="array" ref="R2">_xlfn.IFS(Q2&gt;=80, 4, Q2&gt;=75, 3.5, Q2&gt;=70, 3, Q2&gt;=65, 2.5, Q2&gt;=60, 2, Q2&gt;=55, 1.5, Q2&gt;=50, 1, Q2&lt;50, 0)</f>
        <v>2.5</v>
      </c>
      <c r="S2" s="22">
        <v>69.290000000000006</v>
      </c>
      <c r="T2" s="22">
        <v>76.72</v>
      </c>
      <c r="U2" s="27">
        <f t="shared" ref="U2:U14" si="4">S2*0.45</f>
        <v>31.180500000000002</v>
      </c>
      <c r="V2" s="27">
        <f t="shared" ref="V2:V14" si="5">T2*0.3</f>
        <v>23.015999999999998</v>
      </c>
      <c r="W2" s="27">
        <f t="shared" ref="W2:W14" si="6">P2*0.25</f>
        <v>13.75</v>
      </c>
      <c r="X2" s="27">
        <f>SUM(U2:W2)</f>
        <v>67.9465</v>
      </c>
      <c r="Y2" s="28" t="str">
        <f>IF(ROUND(VALUE(TRIM(Q2)),1)=ROUND(VALUE(TRIM(X2)),1), "Match", "No Match")</f>
        <v>Match</v>
      </c>
      <c r="Z2" s="61" t="str">
        <f t="shared" ref="Z2:Z14" si="7">CONCATENATE("Your end-of-term exam marks are: Speaking ", H2, "%, Listening ", ROUND(J2, 2), "%, Reading ", ROUND(L2, 2), "%, and Writing ", ROUND(N2, 2), "%")</f>
        <v>Your end-of-term exam marks are: Speaking 65%, Listening 40%, Reading 55%, and Writing 60%</v>
      </c>
      <c r="AA2" s="59"/>
      <c r="AB2" s="59"/>
      <c r="AC2" s="59"/>
      <c r="AD2" s="59"/>
      <c r="AE2" s="59"/>
      <c r="AF2" s="59"/>
    </row>
    <row r="3" spans="1:32" ht="15.75" customHeight="1">
      <c r="A3" s="59" t="s">
        <v>80</v>
      </c>
      <c r="B3" s="59" t="s">
        <v>96</v>
      </c>
      <c r="C3" s="44">
        <v>0</v>
      </c>
      <c r="D3" s="75" t="s">
        <v>99</v>
      </c>
      <c r="E3" s="17" t="s">
        <v>100</v>
      </c>
      <c r="F3" s="19" t="s">
        <v>3</v>
      </c>
      <c r="G3" s="28">
        <v>6.5</v>
      </c>
      <c r="H3" s="28">
        <f t="shared" si="0"/>
        <v>65</v>
      </c>
      <c r="I3" s="28">
        <v>9</v>
      </c>
      <c r="J3" s="28">
        <f t="shared" si="1"/>
        <v>45</v>
      </c>
      <c r="K3" s="28">
        <v>10</v>
      </c>
      <c r="L3" s="28">
        <f t="shared" si="2"/>
        <v>50</v>
      </c>
      <c r="M3" s="28">
        <v>7</v>
      </c>
      <c r="N3" s="28">
        <f t="shared" si="3"/>
        <v>70</v>
      </c>
      <c r="O3" s="60">
        <f t="shared" ref="O3:O14" si="8">(SUM(G3,I3,K3,M3)/60)</f>
        <v>0.54166666666666663</v>
      </c>
      <c r="P3" s="27">
        <f t="shared" ref="P3:P41" si="9">(H3+J3+L3+N3)/4</f>
        <v>57.5</v>
      </c>
      <c r="Q3" s="28">
        <v>79.290000000000006</v>
      </c>
      <c r="R3" s="29" cm="1">
        <f t="array" ref="R3">_xlfn.IFS(Q3&gt;=80, 4, Q3&gt;=75, 3.5, Q3&gt;=70, 3, Q3&gt;=65, 2.5, Q3&gt;=60, 2, Q3&gt;=55, 1.5, Q3&gt;=50, 1, Q3&lt;50, 0)</f>
        <v>3.5</v>
      </c>
      <c r="S3" s="22">
        <v>87.74</v>
      </c>
      <c r="T3" s="22">
        <v>84.77</v>
      </c>
      <c r="U3" s="27">
        <f t="shared" si="4"/>
        <v>39.482999999999997</v>
      </c>
      <c r="V3" s="27">
        <f t="shared" si="5"/>
        <v>25.430999999999997</v>
      </c>
      <c r="W3" s="27">
        <f t="shared" si="6"/>
        <v>14.375</v>
      </c>
      <c r="X3" s="27">
        <f t="shared" ref="X3:X14" si="10">SUM(U3:W3)</f>
        <v>79.288999999999987</v>
      </c>
      <c r="Y3" s="28" t="str">
        <f>IF(ROUND(VALUE(TRIM(Q3)),1)=ROUND(VALUE(TRIM(X3)),1), "Match", "No Match")</f>
        <v>Match</v>
      </c>
      <c r="Z3" s="61" t="str">
        <f t="shared" si="7"/>
        <v>Your end-of-term exam marks are: Speaking 65%, Listening 45%, Reading 50%, and Writing 70%</v>
      </c>
      <c r="AA3" s="59"/>
      <c r="AB3" s="59"/>
      <c r="AC3" s="59"/>
      <c r="AD3" s="59"/>
      <c r="AE3" s="59"/>
      <c r="AF3" s="59"/>
    </row>
    <row r="4" spans="1:32" ht="15.75" customHeight="1">
      <c r="A4" s="59" t="s">
        <v>80</v>
      </c>
      <c r="B4" s="59" t="s">
        <v>96</v>
      </c>
      <c r="C4" s="44">
        <v>0</v>
      </c>
      <c r="D4" s="75" t="s">
        <v>99</v>
      </c>
      <c r="E4" s="17" t="s">
        <v>100</v>
      </c>
      <c r="F4" s="19" t="s">
        <v>3</v>
      </c>
      <c r="G4" s="28">
        <v>8</v>
      </c>
      <c r="H4" s="28">
        <f t="shared" si="0"/>
        <v>80</v>
      </c>
      <c r="I4" s="28">
        <v>10</v>
      </c>
      <c r="J4" s="28">
        <f t="shared" si="1"/>
        <v>50</v>
      </c>
      <c r="K4" s="28">
        <v>5</v>
      </c>
      <c r="L4" s="28">
        <f t="shared" si="2"/>
        <v>25</v>
      </c>
      <c r="M4" s="28">
        <v>5</v>
      </c>
      <c r="N4" s="28">
        <f t="shared" si="3"/>
        <v>50</v>
      </c>
      <c r="O4" s="60">
        <f t="shared" si="8"/>
        <v>0.46666666666666667</v>
      </c>
      <c r="P4" s="27">
        <f t="shared" si="9"/>
        <v>51.25</v>
      </c>
      <c r="Q4" s="28">
        <v>52.02</v>
      </c>
      <c r="R4" s="29" cm="1">
        <f t="array" ref="R4">_xlfn.IFS(Q4&gt;=80, 4, Q4&gt;=75, 3.5, Q4&gt;=70, 3, Q4&gt;=65, 2.5, Q4&gt;=60, 2, Q4&gt;=55, 1.5, Q4&gt;=50, 1, Q4&lt;50, 0)</f>
        <v>1</v>
      </c>
      <c r="S4" s="22">
        <v>54.95</v>
      </c>
      <c r="T4" s="22">
        <v>48.28</v>
      </c>
      <c r="U4" s="27">
        <f t="shared" si="4"/>
        <v>24.727500000000003</v>
      </c>
      <c r="V4" s="27">
        <f t="shared" si="5"/>
        <v>14.484</v>
      </c>
      <c r="W4" s="27">
        <f t="shared" si="6"/>
        <v>12.8125</v>
      </c>
      <c r="X4" s="27">
        <f t="shared" si="10"/>
        <v>52.024000000000001</v>
      </c>
      <c r="Y4" s="28" t="str">
        <f t="shared" ref="Y4:Y28" si="11">IF(ROUND(VALUE(TRIM(Q4)),1)=ROUND(VALUE(TRIM(X4)),1), "Match", "No Match")</f>
        <v>Match</v>
      </c>
      <c r="Z4" s="61" t="str">
        <f t="shared" si="7"/>
        <v>Your end-of-term exam marks are: Speaking 80%, Listening 50%, Reading 25%, and Writing 50%</v>
      </c>
      <c r="AA4" s="59"/>
      <c r="AB4" s="59"/>
      <c r="AC4" s="59"/>
      <c r="AD4" s="59"/>
      <c r="AE4" s="59"/>
      <c r="AF4" s="59"/>
    </row>
    <row r="5" spans="1:32" ht="15.75" customHeight="1">
      <c r="A5" s="59" t="s">
        <v>80</v>
      </c>
      <c r="B5" s="59" t="s">
        <v>96</v>
      </c>
      <c r="C5" s="44">
        <v>0</v>
      </c>
      <c r="D5" s="75" t="s">
        <v>99</v>
      </c>
      <c r="E5" s="17" t="s">
        <v>100</v>
      </c>
      <c r="F5" s="19" t="s">
        <v>3</v>
      </c>
      <c r="G5" s="28">
        <v>5</v>
      </c>
      <c r="H5" s="28">
        <f t="shared" si="0"/>
        <v>50</v>
      </c>
      <c r="I5" s="28">
        <v>15</v>
      </c>
      <c r="J5" s="28">
        <f t="shared" si="1"/>
        <v>75</v>
      </c>
      <c r="K5" s="28">
        <v>13</v>
      </c>
      <c r="L5" s="28">
        <f t="shared" si="2"/>
        <v>65</v>
      </c>
      <c r="M5" s="28">
        <v>6.5</v>
      </c>
      <c r="N5" s="28">
        <f t="shared" si="3"/>
        <v>65</v>
      </c>
      <c r="O5" s="60">
        <f t="shared" si="8"/>
        <v>0.65833333333333333</v>
      </c>
      <c r="P5" s="27">
        <f t="shared" si="9"/>
        <v>63.75</v>
      </c>
      <c r="Q5" s="28">
        <v>54.33</v>
      </c>
      <c r="R5" s="29" cm="1">
        <f t="array" ref="R5">_xlfn.IFS(Q5&gt;=80, 4, Q5&gt;=75, 3.5, Q5&gt;=70, 3, Q5&gt;=65, 2.5, Q5&gt;=60, 2, Q5&gt;=55, 1.5, Q5&gt;=50, 1, Q5&lt;50, 0)</f>
        <v>1</v>
      </c>
      <c r="S5" s="22">
        <v>43.47</v>
      </c>
      <c r="T5" s="22">
        <v>62.76</v>
      </c>
      <c r="U5" s="27">
        <f t="shared" si="4"/>
        <v>19.561499999999999</v>
      </c>
      <c r="V5" s="27">
        <f t="shared" si="5"/>
        <v>18.827999999999999</v>
      </c>
      <c r="W5" s="27">
        <f t="shared" si="6"/>
        <v>15.9375</v>
      </c>
      <c r="X5" s="27">
        <f t="shared" si="10"/>
        <v>54.326999999999998</v>
      </c>
      <c r="Y5" s="28" t="str">
        <f t="shared" si="11"/>
        <v>Match</v>
      </c>
      <c r="Z5" s="61" t="str">
        <f t="shared" si="7"/>
        <v>Your end-of-term exam marks are: Speaking 50%, Listening 75%, Reading 65%, and Writing 65%</v>
      </c>
      <c r="AA5" s="59"/>
      <c r="AB5" s="59"/>
      <c r="AC5" s="59"/>
      <c r="AD5" s="59"/>
      <c r="AE5" s="59"/>
      <c r="AF5" s="59"/>
    </row>
    <row r="6" spans="1:32" ht="15.75" customHeight="1">
      <c r="A6" s="59" t="s">
        <v>80</v>
      </c>
      <c r="B6" s="59" t="s">
        <v>96</v>
      </c>
      <c r="C6" s="44">
        <v>0</v>
      </c>
      <c r="D6" s="75" t="s">
        <v>99</v>
      </c>
      <c r="E6" s="17" t="s">
        <v>100</v>
      </c>
      <c r="F6" s="19" t="s">
        <v>3</v>
      </c>
      <c r="G6" s="28">
        <v>8</v>
      </c>
      <c r="H6" s="28">
        <f t="shared" si="0"/>
        <v>80</v>
      </c>
      <c r="I6" s="28">
        <v>9</v>
      </c>
      <c r="J6" s="28">
        <f t="shared" si="1"/>
        <v>45</v>
      </c>
      <c r="K6" s="28">
        <v>10</v>
      </c>
      <c r="L6" s="28">
        <f t="shared" si="2"/>
        <v>50</v>
      </c>
      <c r="M6" s="28">
        <v>6</v>
      </c>
      <c r="N6" s="28">
        <f t="shared" si="3"/>
        <v>60</v>
      </c>
      <c r="O6" s="60">
        <f t="shared" si="8"/>
        <v>0.55000000000000004</v>
      </c>
      <c r="P6" s="27">
        <f t="shared" si="9"/>
        <v>58.75</v>
      </c>
      <c r="Q6" s="28">
        <v>74.81</v>
      </c>
      <c r="R6" s="29" cm="1">
        <f t="array" ref="R6">_xlfn.IFS(Q6&gt;=80, 4, Q6&gt;=75, 3.5, Q6&gt;=70, 3, Q6&gt;=65, 2.5, Q6&gt;=60, 2, Q6&gt;=55, 1.5, Q6&gt;=50, 1, Q6&lt;50, 0)</f>
        <v>3</v>
      </c>
      <c r="S6" s="22">
        <v>81.78</v>
      </c>
      <c r="T6" s="22">
        <v>77.73</v>
      </c>
      <c r="U6" s="27">
        <f t="shared" si="4"/>
        <v>36.801000000000002</v>
      </c>
      <c r="V6" s="27">
        <f t="shared" si="5"/>
        <v>23.318999999999999</v>
      </c>
      <c r="W6" s="27">
        <f t="shared" si="6"/>
        <v>14.6875</v>
      </c>
      <c r="X6" s="27">
        <f t="shared" si="10"/>
        <v>74.807500000000005</v>
      </c>
      <c r="Y6" s="28" t="str">
        <f t="shared" si="11"/>
        <v>Match</v>
      </c>
      <c r="Z6" s="61" t="str">
        <f t="shared" si="7"/>
        <v>Your end-of-term exam marks are: Speaking 80%, Listening 45%, Reading 50%, and Writing 60%</v>
      </c>
      <c r="AA6" s="59"/>
      <c r="AB6" s="59"/>
      <c r="AC6" s="59"/>
      <c r="AD6" s="59"/>
      <c r="AE6" s="59"/>
      <c r="AF6" s="59"/>
    </row>
    <row r="7" spans="1:32" ht="15.75" customHeight="1">
      <c r="A7" s="59" t="s">
        <v>80</v>
      </c>
      <c r="B7" s="59" t="s">
        <v>96</v>
      </c>
      <c r="C7" s="44">
        <v>0</v>
      </c>
      <c r="D7" s="75" t="s">
        <v>99</v>
      </c>
      <c r="E7" s="17" t="s">
        <v>100</v>
      </c>
      <c r="F7" s="19" t="s">
        <v>3</v>
      </c>
      <c r="G7" s="28">
        <v>7</v>
      </c>
      <c r="H7" s="28">
        <f t="shared" si="0"/>
        <v>70</v>
      </c>
      <c r="I7" s="28">
        <v>6</v>
      </c>
      <c r="J7" s="28">
        <f t="shared" si="1"/>
        <v>30</v>
      </c>
      <c r="K7" s="28">
        <v>10</v>
      </c>
      <c r="L7" s="28">
        <f t="shared" si="2"/>
        <v>50</v>
      </c>
      <c r="M7" s="28">
        <v>7</v>
      </c>
      <c r="N7" s="28">
        <f t="shared" si="3"/>
        <v>70</v>
      </c>
      <c r="O7" s="60">
        <f t="shared" si="8"/>
        <v>0.5</v>
      </c>
      <c r="P7" s="27">
        <f t="shared" si="9"/>
        <v>55</v>
      </c>
      <c r="Q7" s="28">
        <v>65.319999999999993</v>
      </c>
      <c r="R7" s="29" cm="1">
        <f t="array" ref="R7">_xlfn.IFS(Q7&gt;=80, 4, Q7&gt;=75, 3.5, Q7&gt;=70, 3, Q7&gt;=65, 2.5, Q7&gt;=60, 2, Q7&gt;=55, 1.5, Q7&gt;=50, 1, Q7&lt;50, 0)</f>
        <v>2.5</v>
      </c>
      <c r="S7" s="22">
        <v>61.11</v>
      </c>
      <c r="T7" s="22">
        <v>80.23</v>
      </c>
      <c r="U7" s="27">
        <f t="shared" si="4"/>
        <v>27.499500000000001</v>
      </c>
      <c r="V7" s="27">
        <f t="shared" si="5"/>
        <v>24.068999999999999</v>
      </c>
      <c r="W7" s="27">
        <f t="shared" si="6"/>
        <v>13.75</v>
      </c>
      <c r="X7" s="27">
        <f t="shared" si="10"/>
        <v>65.3185</v>
      </c>
      <c r="Y7" s="28" t="str">
        <f t="shared" si="11"/>
        <v>Match</v>
      </c>
      <c r="Z7" s="61" t="str">
        <f t="shared" si="7"/>
        <v>Your end-of-term exam marks are: Speaking 70%, Listening 30%, Reading 50%, and Writing 70%</v>
      </c>
      <c r="AA7" s="59"/>
      <c r="AB7" s="59"/>
      <c r="AC7" s="59"/>
      <c r="AD7" s="59"/>
      <c r="AE7" s="59"/>
      <c r="AF7" s="59"/>
    </row>
    <row r="8" spans="1:32" ht="15.75" customHeight="1">
      <c r="A8" s="59" t="s">
        <v>80</v>
      </c>
      <c r="B8" s="59" t="s">
        <v>96</v>
      </c>
      <c r="C8" s="44">
        <v>0</v>
      </c>
      <c r="D8" s="75" t="s">
        <v>99</v>
      </c>
      <c r="E8" s="17" t="s">
        <v>100</v>
      </c>
      <c r="F8" s="19" t="s">
        <v>3</v>
      </c>
      <c r="G8" s="28">
        <v>5.5</v>
      </c>
      <c r="H8" s="28">
        <f t="shared" si="0"/>
        <v>55.000000000000007</v>
      </c>
      <c r="I8" s="28">
        <v>7</v>
      </c>
      <c r="J8" s="28">
        <f t="shared" si="1"/>
        <v>35</v>
      </c>
      <c r="K8" s="28">
        <v>9</v>
      </c>
      <c r="L8" s="28">
        <f t="shared" si="2"/>
        <v>45</v>
      </c>
      <c r="M8" s="28">
        <v>7</v>
      </c>
      <c r="N8" s="28">
        <f t="shared" si="3"/>
        <v>70</v>
      </c>
      <c r="O8" s="60">
        <f t="shared" si="8"/>
        <v>0.47499999999999998</v>
      </c>
      <c r="P8" s="27">
        <f t="shared" si="9"/>
        <v>51.25</v>
      </c>
      <c r="Q8" s="28">
        <v>52.44</v>
      </c>
      <c r="R8" s="29" cm="1">
        <f t="array" ref="R8">_xlfn.IFS(Q8&gt;=80, 4, Q8&gt;=75, 3.5, Q8&gt;=70, 3, Q8&gt;=65, 2.5, Q8&gt;=60, 2, Q8&gt;=55, 1.5, Q8&gt;=50, 1, Q8&lt;50, 0)</f>
        <v>1</v>
      </c>
      <c r="S8" s="22">
        <v>45.99</v>
      </c>
      <c r="T8" s="22">
        <v>63.1</v>
      </c>
      <c r="U8" s="27">
        <f t="shared" si="4"/>
        <v>20.695500000000003</v>
      </c>
      <c r="V8" s="27">
        <f t="shared" si="5"/>
        <v>18.93</v>
      </c>
      <c r="W8" s="27">
        <f t="shared" si="6"/>
        <v>12.8125</v>
      </c>
      <c r="X8" s="27">
        <f t="shared" si="10"/>
        <v>52.438000000000002</v>
      </c>
      <c r="Y8" s="28" t="str">
        <f t="shared" si="11"/>
        <v>Match</v>
      </c>
      <c r="Z8" s="61" t="str">
        <f t="shared" si="7"/>
        <v>Your end-of-term exam marks are: Speaking 55%, Listening 35%, Reading 45%, and Writing 70%</v>
      </c>
      <c r="AA8" s="59"/>
      <c r="AB8" s="59"/>
      <c r="AC8" s="59"/>
      <c r="AD8" s="59"/>
      <c r="AE8" s="59"/>
      <c r="AF8" s="59"/>
    </row>
    <row r="9" spans="1:32" ht="15.75" customHeight="1">
      <c r="A9" s="59" t="s">
        <v>80</v>
      </c>
      <c r="B9" s="59" t="s">
        <v>96</v>
      </c>
      <c r="C9" s="44">
        <v>0</v>
      </c>
      <c r="D9" s="75" t="s">
        <v>99</v>
      </c>
      <c r="E9" s="17" t="s">
        <v>100</v>
      </c>
      <c r="F9" s="19" t="s">
        <v>3</v>
      </c>
      <c r="G9" s="28">
        <v>8</v>
      </c>
      <c r="H9" s="28">
        <f t="shared" si="0"/>
        <v>80</v>
      </c>
      <c r="I9" s="28">
        <v>13</v>
      </c>
      <c r="J9" s="28">
        <f t="shared" si="1"/>
        <v>65</v>
      </c>
      <c r="K9" s="28">
        <v>10</v>
      </c>
      <c r="L9" s="28">
        <f t="shared" si="2"/>
        <v>50</v>
      </c>
      <c r="M9" s="28">
        <v>6</v>
      </c>
      <c r="N9" s="28">
        <f t="shared" si="3"/>
        <v>60</v>
      </c>
      <c r="O9" s="60">
        <f t="shared" si="8"/>
        <v>0.6166666666666667</v>
      </c>
      <c r="P9" s="27">
        <f t="shared" si="9"/>
        <v>63.75</v>
      </c>
      <c r="Q9" s="28">
        <v>84.96</v>
      </c>
      <c r="R9" s="29" cm="1">
        <f t="array" ref="R9">_xlfn.IFS(Q9&gt;=80, 4, Q9&gt;=75, 3.5, Q9&gt;=70, 3, Q9&gt;=65, 2.5, Q9&gt;=60, 2, Q9&gt;=55, 1.5, Q9&gt;=50, 1, Q9&lt;50, 0)</f>
        <v>4</v>
      </c>
      <c r="S9" s="27">
        <v>94.95</v>
      </c>
      <c r="T9" s="27">
        <v>87.64</v>
      </c>
      <c r="U9" s="27">
        <f t="shared" si="4"/>
        <v>42.727499999999999</v>
      </c>
      <c r="V9" s="27">
        <f t="shared" si="5"/>
        <v>26.291999999999998</v>
      </c>
      <c r="W9" s="27">
        <f t="shared" si="6"/>
        <v>15.9375</v>
      </c>
      <c r="X9" s="27">
        <f t="shared" si="10"/>
        <v>84.956999999999994</v>
      </c>
      <c r="Y9" s="28" t="str">
        <f t="shared" si="11"/>
        <v>Match</v>
      </c>
      <c r="Z9" s="61" t="str">
        <f t="shared" si="7"/>
        <v>Your end-of-term exam marks are: Speaking 80%, Listening 65%, Reading 50%, and Writing 60%</v>
      </c>
      <c r="AA9" s="59"/>
      <c r="AB9" s="59"/>
      <c r="AC9" s="59"/>
      <c r="AD9" s="59"/>
      <c r="AE9" s="59"/>
      <c r="AF9" s="59"/>
    </row>
    <row r="10" spans="1:32" ht="15.75" customHeight="1">
      <c r="A10" s="59" t="s">
        <v>80</v>
      </c>
      <c r="B10" s="59" t="s">
        <v>96</v>
      </c>
      <c r="C10" s="44">
        <v>0</v>
      </c>
      <c r="D10" s="75" t="s">
        <v>99</v>
      </c>
      <c r="E10" s="17" t="s">
        <v>100</v>
      </c>
      <c r="F10" s="19" t="s">
        <v>3</v>
      </c>
      <c r="G10" s="28">
        <v>7.5</v>
      </c>
      <c r="H10" s="28">
        <f t="shared" si="0"/>
        <v>75</v>
      </c>
      <c r="I10" s="28">
        <v>14</v>
      </c>
      <c r="J10" s="28">
        <f t="shared" si="1"/>
        <v>70</v>
      </c>
      <c r="K10" s="28">
        <v>9</v>
      </c>
      <c r="L10" s="28">
        <f t="shared" si="2"/>
        <v>45</v>
      </c>
      <c r="M10" s="28">
        <v>6.5</v>
      </c>
      <c r="N10" s="28">
        <f t="shared" si="3"/>
        <v>65</v>
      </c>
      <c r="O10" s="60">
        <f t="shared" si="8"/>
        <v>0.6166666666666667</v>
      </c>
      <c r="P10" s="27">
        <f t="shared" si="9"/>
        <v>63.75</v>
      </c>
      <c r="Q10" s="28">
        <v>56.23</v>
      </c>
      <c r="R10" s="29" cm="1">
        <f t="array" ref="R10">_xlfn.IFS(Q10&gt;=80, 4, Q10&gt;=75, 3.5, Q10&gt;=70, 3, Q10&gt;=65, 2.5, Q10&gt;=60, 2, Q10&gt;=55, 1.5, Q10&gt;=50, 1, Q10&lt;50, 0)</f>
        <v>1.5</v>
      </c>
      <c r="S10" s="27">
        <v>35.619999999999997</v>
      </c>
      <c r="T10" s="22">
        <v>80.86</v>
      </c>
      <c r="U10" s="27">
        <f t="shared" si="4"/>
        <v>16.029</v>
      </c>
      <c r="V10" s="27">
        <f t="shared" si="5"/>
        <v>24.257999999999999</v>
      </c>
      <c r="W10" s="27">
        <f t="shared" si="6"/>
        <v>15.9375</v>
      </c>
      <c r="X10" s="27">
        <f t="shared" si="10"/>
        <v>56.224499999999999</v>
      </c>
      <c r="Y10" s="28" t="str">
        <f t="shared" si="11"/>
        <v>Match</v>
      </c>
      <c r="Z10" s="61" t="str">
        <f t="shared" si="7"/>
        <v>Your end-of-term exam marks are: Speaking 75%, Listening 70%, Reading 45%, and Writing 65%</v>
      </c>
      <c r="AA10" s="59"/>
      <c r="AB10" s="59"/>
      <c r="AC10" s="59"/>
      <c r="AD10" s="59"/>
      <c r="AE10" s="59"/>
      <c r="AF10" s="59"/>
    </row>
    <row r="11" spans="1:32" ht="15.75" customHeight="1">
      <c r="A11" s="59" t="s">
        <v>80</v>
      </c>
      <c r="B11" s="59" t="s">
        <v>96</v>
      </c>
      <c r="C11" s="44">
        <v>0</v>
      </c>
      <c r="D11" s="75" t="s">
        <v>99</v>
      </c>
      <c r="E11" s="17" t="s">
        <v>100</v>
      </c>
      <c r="F11" s="19" t="s">
        <v>3</v>
      </c>
      <c r="G11" s="28">
        <v>6</v>
      </c>
      <c r="H11" s="28">
        <f t="shared" si="0"/>
        <v>60</v>
      </c>
      <c r="I11" s="28">
        <v>8</v>
      </c>
      <c r="J11" s="28">
        <f t="shared" si="1"/>
        <v>40</v>
      </c>
      <c r="K11" s="28">
        <v>6</v>
      </c>
      <c r="L11" s="28">
        <f t="shared" si="2"/>
        <v>30</v>
      </c>
      <c r="M11" s="28">
        <v>6.5</v>
      </c>
      <c r="N11" s="28">
        <f t="shared" si="3"/>
        <v>65</v>
      </c>
      <c r="O11" s="60">
        <f t="shared" si="8"/>
        <v>0.44166666666666665</v>
      </c>
      <c r="P11" s="27">
        <f t="shared" si="9"/>
        <v>48.75</v>
      </c>
      <c r="Q11" s="28">
        <v>69.709999999999994</v>
      </c>
      <c r="R11" s="29" cm="1">
        <f t="array" ref="R11">_xlfn.IFS(Q11&gt;=80, 4, Q11&gt;=75, 3.5, Q11&gt;=70, 3, Q11&gt;=65, 2.5, Q11&gt;=60, 2, Q11&gt;=55, 1.5, Q11&gt;=50, 1, Q11&lt;50, 0)</f>
        <v>2.5</v>
      </c>
      <c r="S11" s="27">
        <v>74.88</v>
      </c>
      <c r="T11" s="22">
        <v>79.430000000000007</v>
      </c>
      <c r="U11" s="27">
        <f t="shared" si="4"/>
        <v>33.695999999999998</v>
      </c>
      <c r="V11" s="27">
        <f t="shared" si="5"/>
        <v>23.829000000000001</v>
      </c>
      <c r="W11" s="27">
        <f t="shared" si="6"/>
        <v>12.1875</v>
      </c>
      <c r="X11" s="27">
        <f t="shared" si="10"/>
        <v>69.712500000000006</v>
      </c>
      <c r="Y11" s="28" t="str">
        <f t="shared" si="11"/>
        <v>Match</v>
      </c>
      <c r="Z11" s="61" t="str">
        <f t="shared" si="7"/>
        <v>Your end-of-term exam marks are: Speaking 60%, Listening 40%, Reading 30%, and Writing 65%</v>
      </c>
      <c r="AA11" s="59"/>
      <c r="AB11" s="59"/>
      <c r="AC11" s="59"/>
      <c r="AD11" s="59"/>
      <c r="AE11" s="59"/>
      <c r="AF11" s="59"/>
    </row>
    <row r="12" spans="1:32" ht="15.75" customHeight="1">
      <c r="A12" s="59" t="s">
        <v>80</v>
      </c>
      <c r="B12" s="59" t="s">
        <v>96</v>
      </c>
      <c r="C12" s="44">
        <v>0</v>
      </c>
      <c r="D12" s="75" t="s">
        <v>99</v>
      </c>
      <c r="E12" s="17" t="s">
        <v>100</v>
      </c>
      <c r="F12" s="19" t="s">
        <v>3</v>
      </c>
      <c r="G12" s="28">
        <v>7</v>
      </c>
      <c r="H12" s="28">
        <f t="shared" si="0"/>
        <v>70</v>
      </c>
      <c r="I12" s="28">
        <v>9</v>
      </c>
      <c r="J12" s="28">
        <f t="shared" si="1"/>
        <v>45</v>
      </c>
      <c r="K12" s="28">
        <v>7</v>
      </c>
      <c r="L12" s="28">
        <f t="shared" si="2"/>
        <v>35</v>
      </c>
      <c r="M12" s="28">
        <v>6.5</v>
      </c>
      <c r="N12" s="28">
        <f t="shared" si="3"/>
        <v>65</v>
      </c>
      <c r="O12" s="60">
        <f t="shared" si="8"/>
        <v>0.49166666666666664</v>
      </c>
      <c r="P12" s="27">
        <f t="shared" si="9"/>
        <v>53.75</v>
      </c>
      <c r="Q12" s="28">
        <v>68.86</v>
      </c>
      <c r="R12" s="29" cm="1">
        <f t="array" ref="R12">_xlfn.IFS(Q12&gt;=80, 4, Q12&gt;=75, 3.5, Q12&gt;=70, 3, Q12&gt;=65, 2.5, Q12&gt;=60, 2, Q12&gt;=55, 1.5, Q12&gt;=50, 1, Q12&lt;50, 0)</f>
        <v>2.5</v>
      </c>
      <c r="S12" s="27">
        <v>68.180000000000007</v>
      </c>
      <c r="T12" s="22">
        <v>82.47</v>
      </c>
      <c r="U12" s="27">
        <f t="shared" si="4"/>
        <v>30.681000000000004</v>
      </c>
      <c r="V12" s="27">
        <f t="shared" si="5"/>
        <v>24.741</v>
      </c>
      <c r="W12" s="27">
        <f t="shared" si="6"/>
        <v>13.4375</v>
      </c>
      <c r="X12" s="27">
        <f t="shared" si="10"/>
        <v>68.859499999999997</v>
      </c>
      <c r="Y12" s="28" t="str">
        <f t="shared" si="11"/>
        <v>Match</v>
      </c>
      <c r="Z12" s="61" t="str">
        <f t="shared" si="7"/>
        <v>Your end-of-term exam marks are: Speaking 70%, Listening 45%, Reading 35%, and Writing 65%</v>
      </c>
      <c r="AA12" s="59"/>
      <c r="AB12" s="59"/>
      <c r="AC12" s="59"/>
      <c r="AD12" s="59"/>
      <c r="AE12" s="59"/>
      <c r="AF12" s="59"/>
    </row>
    <row r="13" spans="1:32" ht="15.75" customHeight="1">
      <c r="A13" s="59" t="s">
        <v>80</v>
      </c>
      <c r="B13" s="59" t="s">
        <v>96</v>
      </c>
      <c r="C13" s="44">
        <v>0</v>
      </c>
      <c r="D13" s="75" t="s">
        <v>99</v>
      </c>
      <c r="E13" s="17" t="s">
        <v>100</v>
      </c>
      <c r="F13" s="19" t="s">
        <v>3</v>
      </c>
      <c r="G13" s="28">
        <v>6</v>
      </c>
      <c r="H13" s="28">
        <f t="shared" si="0"/>
        <v>60</v>
      </c>
      <c r="I13" s="28">
        <v>9</v>
      </c>
      <c r="J13" s="28">
        <f t="shared" si="1"/>
        <v>45</v>
      </c>
      <c r="K13" s="28">
        <v>5</v>
      </c>
      <c r="L13" s="28">
        <f t="shared" si="2"/>
        <v>25</v>
      </c>
      <c r="M13" s="28">
        <v>7</v>
      </c>
      <c r="N13" s="28">
        <f t="shared" si="3"/>
        <v>70</v>
      </c>
      <c r="O13" s="60">
        <f t="shared" si="8"/>
        <v>0.45</v>
      </c>
      <c r="P13" s="27">
        <f t="shared" si="9"/>
        <v>50</v>
      </c>
      <c r="Q13" s="28">
        <v>73.37</v>
      </c>
      <c r="R13" s="29" cm="1">
        <f t="array" ref="R13">_xlfn.IFS(Q13&gt;=80, 4, Q13&gt;=75, 3.5, Q13&gt;=70, 3, Q13&gt;=65, 2.5, Q13&gt;=60, 2, Q13&gt;=55, 1.5, Q13&gt;=50, 1, Q13&lt;50, 0)</f>
        <v>3</v>
      </c>
      <c r="S13" s="27">
        <v>76.599999999999994</v>
      </c>
      <c r="T13" s="22">
        <v>87.99</v>
      </c>
      <c r="U13" s="27">
        <f t="shared" si="4"/>
        <v>34.47</v>
      </c>
      <c r="V13" s="27">
        <f t="shared" si="5"/>
        <v>26.396999999999998</v>
      </c>
      <c r="W13" s="27">
        <f t="shared" si="6"/>
        <v>12.5</v>
      </c>
      <c r="X13" s="27">
        <f t="shared" si="10"/>
        <v>73.36699999999999</v>
      </c>
      <c r="Y13" s="28" t="str">
        <f t="shared" si="11"/>
        <v>Match</v>
      </c>
      <c r="Z13" s="61" t="str">
        <f t="shared" si="7"/>
        <v>Your end-of-term exam marks are: Speaking 60%, Listening 45%, Reading 25%, and Writing 70%</v>
      </c>
      <c r="AA13" s="59"/>
      <c r="AB13" s="59"/>
      <c r="AC13" s="59"/>
      <c r="AD13" s="59"/>
      <c r="AE13" s="59"/>
      <c r="AF13" s="59"/>
    </row>
    <row r="14" spans="1:32" ht="15.75" customHeight="1">
      <c r="A14" s="59" t="s">
        <v>80</v>
      </c>
      <c r="B14" s="59" t="s">
        <v>96</v>
      </c>
      <c r="C14" s="44">
        <v>0</v>
      </c>
      <c r="D14" s="75" t="s">
        <v>99</v>
      </c>
      <c r="E14" s="17" t="s">
        <v>100</v>
      </c>
      <c r="F14" s="19" t="s">
        <v>3</v>
      </c>
      <c r="G14" s="28">
        <v>8</v>
      </c>
      <c r="H14" s="28">
        <f t="shared" si="0"/>
        <v>80</v>
      </c>
      <c r="I14" s="28">
        <v>12</v>
      </c>
      <c r="J14" s="28">
        <f t="shared" si="1"/>
        <v>60</v>
      </c>
      <c r="K14" s="28">
        <v>12</v>
      </c>
      <c r="L14" s="28">
        <f t="shared" si="2"/>
        <v>60</v>
      </c>
      <c r="M14" s="28">
        <v>6</v>
      </c>
      <c r="N14" s="28">
        <f t="shared" si="3"/>
        <v>60</v>
      </c>
      <c r="O14" s="60">
        <f t="shared" si="8"/>
        <v>0.6333333333333333</v>
      </c>
      <c r="P14" s="27">
        <f t="shared" si="9"/>
        <v>65</v>
      </c>
      <c r="Q14" s="28">
        <v>84.18</v>
      </c>
      <c r="R14" s="29" cm="1">
        <f t="array" ref="R14">_xlfn.IFS(Q14&gt;=80, 4, Q14&gt;=75, 3.5, Q14&gt;=70, 3, Q14&gt;=65, 2.5, Q14&gt;=60, 2, Q14&gt;=55, 1.5, Q14&gt;=50, 1, Q14&lt;50, 0)</f>
        <v>4</v>
      </c>
      <c r="S14" s="27">
        <v>93.57</v>
      </c>
      <c r="T14" s="22">
        <v>86.06</v>
      </c>
      <c r="U14" s="27">
        <f t="shared" si="4"/>
        <v>42.106499999999997</v>
      </c>
      <c r="V14" s="27">
        <f t="shared" si="5"/>
        <v>25.818000000000001</v>
      </c>
      <c r="W14" s="27">
        <f t="shared" si="6"/>
        <v>16.25</v>
      </c>
      <c r="X14" s="27">
        <f t="shared" si="10"/>
        <v>84.174499999999995</v>
      </c>
      <c r="Y14" s="28" t="str">
        <f t="shared" si="11"/>
        <v>Match</v>
      </c>
      <c r="Z14" s="61" t="str">
        <f t="shared" si="7"/>
        <v>Your end-of-term exam marks are: Speaking 80%, Listening 60%, Reading 60%, and Writing 60%</v>
      </c>
      <c r="AA14" s="59"/>
      <c r="AB14" s="59"/>
      <c r="AC14" s="59"/>
      <c r="AD14" s="59"/>
      <c r="AE14" s="59"/>
      <c r="AF14" s="59"/>
    </row>
    <row r="15" spans="1:32" ht="15.75" customHeight="1">
      <c r="A15" s="62"/>
      <c r="B15" s="62"/>
      <c r="C15" s="63"/>
      <c r="D15" s="62"/>
      <c r="E15" s="62"/>
      <c r="F15" s="62"/>
      <c r="G15" s="40"/>
      <c r="H15" s="64">
        <f>AVERAGE(H2:H14)</f>
        <v>68.461538461538467</v>
      </c>
      <c r="I15" s="64"/>
      <c r="J15" s="64">
        <f>AVERAGE(J2:J14)</f>
        <v>49.615384615384613</v>
      </c>
      <c r="K15" s="64"/>
      <c r="L15" s="64">
        <f>AVERAGE(L2:L14)</f>
        <v>45</v>
      </c>
      <c r="M15" s="64"/>
      <c r="N15" s="64">
        <f>AVERAGE(N2:N14)</f>
        <v>63.846153846153847</v>
      </c>
      <c r="O15" s="77">
        <f>AVERAGE(O2:O14)</f>
        <v>0.53589743589743577</v>
      </c>
      <c r="P15" s="80">
        <f>AVERAGE(P2:P14)</f>
        <v>56.730769230769234</v>
      </c>
      <c r="Q15" s="79">
        <f>AVERAGE(Q2:Q14)</f>
        <v>67.958461538461535</v>
      </c>
      <c r="R15" s="40"/>
      <c r="S15" s="79">
        <f>AVERAGE(S2:S14)</f>
        <v>68.317692307692312</v>
      </c>
      <c r="T15" s="79">
        <f>AVERAGE(T2:T14)</f>
        <v>76.772307692307706</v>
      </c>
      <c r="U15" s="65"/>
      <c r="V15" s="65"/>
      <c r="W15" s="65"/>
      <c r="X15" s="65"/>
      <c r="Y15" s="65"/>
      <c r="Z15" s="62"/>
      <c r="AA15" s="62"/>
      <c r="AB15" s="62"/>
      <c r="AC15" s="62"/>
      <c r="AD15" s="62"/>
      <c r="AE15" s="62"/>
      <c r="AF15" s="62"/>
    </row>
    <row r="16" spans="1:32" ht="15.75" customHeight="1">
      <c r="A16" s="59" t="s">
        <v>80</v>
      </c>
      <c r="B16" s="59" t="s">
        <v>97</v>
      </c>
      <c r="C16" s="44">
        <v>0</v>
      </c>
      <c r="D16" s="76" t="s">
        <v>99</v>
      </c>
      <c r="E16" s="17" t="s">
        <v>100</v>
      </c>
      <c r="F16" s="19" t="s">
        <v>3</v>
      </c>
      <c r="G16" s="28">
        <v>8</v>
      </c>
      <c r="H16" s="28">
        <f t="shared" ref="H16:H28" si="12">(G16/10)*100</f>
        <v>80</v>
      </c>
      <c r="I16" s="28">
        <v>12</v>
      </c>
      <c r="J16" s="28">
        <f t="shared" ref="J16:J28" si="13">(I16/20)*100</f>
        <v>60</v>
      </c>
      <c r="K16" s="28">
        <v>11</v>
      </c>
      <c r="L16" s="28">
        <f t="shared" ref="L16:L28" si="14">(K16/20)*100</f>
        <v>55.000000000000007</v>
      </c>
      <c r="M16" s="28">
        <v>7</v>
      </c>
      <c r="N16" s="28">
        <f t="shared" ref="N16:N28" si="15">(M16/10)*100</f>
        <v>70</v>
      </c>
      <c r="O16" s="60">
        <f t="shared" ref="O16:O28" si="16">(SUM(G16,I16,K16,M16)/60)</f>
        <v>0.6333333333333333</v>
      </c>
      <c r="P16" s="27">
        <f t="shared" si="9"/>
        <v>66.25</v>
      </c>
      <c r="Q16" s="28">
        <v>72.83</v>
      </c>
      <c r="R16" s="29" cm="1">
        <f t="array" ref="R16">_xlfn.IFS(Q16&gt;=80, 4, Q16&gt;=75, 3.5, Q16&gt;=70, 3, Q16&gt;=65, 2.5, Q16&gt;=60, 2, Q16&gt;=55, 1.5, Q16&gt;=50, 1, Q16&lt;50, 0)</f>
        <v>3</v>
      </c>
      <c r="S16" s="22">
        <v>84.96</v>
      </c>
      <c r="T16" s="22">
        <v>60.14</v>
      </c>
      <c r="U16" s="27">
        <f t="shared" ref="U16:U28" si="17">S16*0.45</f>
        <v>38.231999999999999</v>
      </c>
      <c r="V16" s="27">
        <f t="shared" ref="V16:V28" si="18">T16*0.3</f>
        <v>18.041999999999998</v>
      </c>
      <c r="W16" s="27">
        <f t="shared" ref="W16:W28" si="19">P16*0.25</f>
        <v>16.5625</v>
      </c>
      <c r="X16" s="27">
        <f t="shared" ref="X16:X28" si="20">SUM(U16:W16)</f>
        <v>72.836500000000001</v>
      </c>
      <c r="Y16" s="28" t="str">
        <f t="shared" si="11"/>
        <v>Match</v>
      </c>
      <c r="Z16" s="61" t="str">
        <f t="shared" ref="Z16:Z28" si="21">CONCATENATE("Your end-of-term exam marks are: Speaking ", H16, "%, Listening ", ROUND(J16, 2), "%, Reading ", ROUND(L16, 2), "%, and Writing ", ROUND(N16, 2), "%")</f>
        <v>Your end-of-term exam marks are: Speaking 80%, Listening 60%, Reading 55%, and Writing 70%</v>
      </c>
      <c r="AA16" s="59"/>
      <c r="AB16" s="59"/>
      <c r="AC16" s="59"/>
      <c r="AD16" s="59"/>
      <c r="AE16" s="59"/>
      <c r="AF16" s="59"/>
    </row>
    <row r="17" spans="1:32" ht="15.75" customHeight="1">
      <c r="A17" s="59" t="s">
        <v>80</v>
      </c>
      <c r="B17" s="59" t="s">
        <v>97</v>
      </c>
      <c r="C17" s="44">
        <v>0</v>
      </c>
      <c r="D17" s="76" t="s">
        <v>99</v>
      </c>
      <c r="E17" s="17" t="s">
        <v>100</v>
      </c>
      <c r="F17" s="19" t="s">
        <v>3</v>
      </c>
      <c r="G17" s="28">
        <v>8</v>
      </c>
      <c r="H17" s="28">
        <f t="shared" si="12"/>
        <v>80</v>
      </c>
      <c r="I17" s="28">
        <v>5</v>
      </c>
      <c r="J17" s="28">
        <f t="shared" si="13"/>
        <v>25</v>
      </c>
      <c r="K17" s="28">
        <v>11</v>
      </c>
      <c r="L17" s="28">
        <f t="shared" si="14"/>
        <v>55.000000000000007</v>
      </c>
      <c r="M17" s="28">
        <v>3</v>
      </c>
      <c r="N17" s="28">
        <f t="shared" si="15"/>
        <v>30</v>
      </c>
      <c r="O17" s="60">
        <f t="shared" si="16"/>
        <v>0.45</v>
      </c>
      <c r="P17" s="27">
        <f t="shared" si="9"/>
        <v>47.5</v>
      </c>
      <c r="Q17" s="28">
        <v>70.02</v>
      </c>
      <c r="R17" s="29" cm="1">
        <f t="array" ref="R17">_xlfn.IFS(Q17&gt;=80, 4, Q17&gt;=75, 3.5, Q17&gt;=70, 3, Q17&gt;=65, 2.5, Q17&gt;=60, 2, Q17&gt;=55, 1.5, Q17&gt;=50, 1, Q17&lt;50, 0)</f>
        <v>3</v>
      </c>
      <c r="S17" s="22">
        <v>88.08</v>
      </c>
      <c r="T17" s="22">
        <v>61.71</v>
      </c>
      <c r="U17" s="27">
        <f t="shared" si="17"/>
        <v>39.636000000000003</v>
      </c>
      <c r="V17" s="27">
        <f t="shared" si="18"/>
        <v>18.512999999999998</v>
      </c>
      <c r="W17" s="27">
        <f t="shared" si="19"/>
        <v>11.875</v>
      </c>
      <c r="X17" s="27">
        <f t="shared" si="20"/>
        <v>70.024000000000001</v>
      </c>
      <c r="Y17" s="28" t="str">
        <f t="shared" si="11"/>
        <v>Match</v>
      </c>
      <c r="Z17" s="61" t="str">
        <f t="shared" si="21"/>
        <v>Your end-of-term exam marks are: Speaking 80%, Listening 25%, Reading 55%, and Writing 30%</v>
      </c>
      <c r="AA17" s="59"/>
      <c r="AB17" s="59"/>
      <c r="AC17" s="59"/>
      <c r="AD17" s="59"/>
      <c r="AE17" s="59"/>
      <c r="AF17" s="59"/>
    </row>
    <row r="18" spans="1:32" ht="15.75" customHeight="1">
      <c r="A18" s="59" t="s">
        <v>80</v>
      </c>
      <c r="B18" s="59" t="s">
        <v>97</v>
      </c>
      <c r="C18" s="44">
        <v>0</v>
      </c>
      <c r="D18" s="76" t="s">
        <v>99</v>
      </c>
      <c r="E18" s="17" t="s">
        <v>100</v>
      </c>
      <c r="F18" s="19" t="s">
        <v>3</v>
      </c>
      <c r="G18" s="28">
        <v>6.5</v>
      </c>
      <c r="H18" s="28">
        <f t="shared" si="12"/>
        <v>65</v>
      </c>
      <c r="I18" s="28">
        <v>7</v>
      </c>
      <c r="J18" s="28">
        <f t="shared" si="13"/>
        <v>35</v>
      </c>
      <c r="K18" s="28">
        <v>7</v>
      </c>
      <c r="L18" s="28">
        <f t="shared" si="14"/>
        <v>35</v>
      </c>
      <c r="M18" s="28">
        <v>7</v>
      </c>
      <c r="N18" s="28">
        <f t="shared" si="15"/>
        <v>70</v>
      </c>
      <c r="O18" s="60">
        <f t="shared" si="16"/>
        <v>0.45833333333333331</v>
      </c>
      <c r="P18" s="27">
        <f t="shared" si="9"/>
        <v>51.25</v>
      </c>
      <c r="Q18" s="28">
        <v>76</v>
      </c>
      <c r="R18" s="29" cm="1">
        <f t="array" ref="R18">_xlfn.IFS(Q18&gt;=80, 4, Q18&gt;=75, 3.5, Q18&gt;=70, 3, Q18&gt;=65, 2.5, Q18&gt;=60, 2, Q18&gt;=55, 1.5, Q18&gt;=50, 1, Q18&lt;50, 0)</f>
        <v>3.5</v>
      </c>
      <c r="S18" s="22">
        <v>88.16</v>
      </c>
      <c r="T18" s="22">
        <v>78.38</v>
      </c>
      <c r="U18" s="27">
        <f t="shared" si="17"/>
        <v>39.671999999999997</v>
      </c>
      <c r="V18" s="27">
        <f t="shared" si="18"/>
        <v>23.513999999999999</v>
      </c>
      <c r="W18" s="27">
        <f t="shared" si="19"/>
        <v>12.8125</v>
      </c>
      <c r="X18" s="27">
        <f t="shared" si="20"/>
        <v>75.998499999999993</v>
      </c>
      <c r="Y18" s="28" t="str">
        <f t="shared" si="11"/>
        <v>Match</v>
      </c>
      <c r="Z18" s="61" t="str">
        <f t="shared" si="21"/>
        <v>Your end-of-term exam marks are: Speaking 65%, Listening 35%, Reading 35%, and Writing 70%</v>
      </c>
      <c r="AA18" s="59"/>
      <c r="AB18" s="59"/>
      <c r="AC18" s="59"/>
      <c r="AD18" s="59"/>
      <c r="AE18" s="59"/>
      <c r="AF18" s="59"/>
    </row>
    <row r="19" spans="1:32" ht="15.75" customHeight="1">
      <c r="A19" s="59" t="s">
        <v>80</v>
      </c>
      <c r="B19" s="59" t="s">
        <v>97</v>
      </c>
      <c r="C19" s="44">
        <v>0</v>
      </c>
      <c r="D19" s="76" t="s">
        <v>99</v>
      </c>
      <c r="E19" s="17" t="s">
        <v>100</v>
      </c>
      <c r="F19" s="19" t="s">
        <v>3</v>
      </c>
      <c r="G19" s="28">
        <v>8</v>
      </c>
      <c r="H19" s="28">
        <f t="shared" si="12"/>
        <v>80</v>
      </c>
      <c r="I19" s="28">
        <v>7</v>
      </c>
      <c r="J19" s="28">
        <f t="shared" si="13"/>
        <v>35</v>
      </c>
      <c r="K19" s="28">
        <v>11</v>
      </c>
      <c r="L19" s="28">
        <f t="shared" si="14"/>
        <v>55.000000000000007</v>
      </c>
      <c r="M19" s="28">
        <v>3</v>
      </c>
      <c r="N19" s="28">
        <f t="shared" si="15"/>
        <v>30</v>
      </c>
      <c r="O19" s="60">
        <f t="shared" si="16"/>
        <v>0.48333333333333334</v>
      </c>
      <c r="P19" s="27">
        <f t="shared" si="9"/>
        <v>50</v>
      </c>
      <c r="Q19" s="28">
        <v>50.82</v>
      </c>
      <c r="R19" s="29" cm="1">
        <f t="array" ref="R19">_xlfn.IFS(Q19&gt;=80, 4, Q19&gt;=75, 3.5, Q19&gt;=70, 3, Q19&gt;=65, 2.5, Q19&gt;=60, 2, Q19&gt;=55, 1.5, Q19&gt;=50, 1, Q19&lt;50, 0)</f>
        <v>1</v>
      </c>
      <c r="S19" s="22">
        <v>50.38</v>
      </c>
      <c r="T19" s="22">
        <v>52.16</v>
      </c>
      <c r="U19" s="27">
        <f t="shared" si="17"/>
        <v>22.671000000000003</v>
      </c>
      <c r="V19" s="27">
        <f t="shared" si="18"/>
        <v>15.647999999999998</v>
      </c>
      <c r="W19" s="27">
        <f t="shared" si="19"/>
        <v>12.5</v>
      </c>
      <c r="X19" s="27">
        <f t="shared" si="20"/>
        <v>50.819000000000003</v>
      </c>
      <c r="Y19" s="28" t="str">
        <f t="shared" si="11"/>
        <v>Match</v>
      </c>
      <c r="Z19" s="61" t="str">
        <f t="shared" si="21"/>
        <v>Your end-of-term exam marks are: Speaking 80%, Listening 35%, Reading 55%, and Writing 30%</v>
      </c>
      <c r="AA19" s="59"/>
      <c r="AB19" s="59"/>
      <c r="AC19" s="59"/>
      <c r="AD19" s="59"/>
      <c r="AE19" s="59"/>
      <c r="AF19" s="59"/>
    </row>
    <row r="20" spans="1:32" ht="15.75" customHeight="1">
      <c r="A20" s="59" t="s">
        <v>80</v>
      </c>
      <c r="B20" s="59" t="s">
        <v>97</v>
      </c>
      <c r="C20" s="44">
        <v>0</v>
      </c>
      <c r="D20" s="76" t="s">
        <v>99</v>
      </c>
      <c r="E20" s="17" t="s">
        <v>100</v>
      </c>
      <c r="F20" s="19" t="s">
        <v>3</v>
      </c>
      <c r="G20" s="28">
        <v>4</v>
      </c>
      <c r="H20" s="28">
        <f t="shared" si="12"/>
        <v>40</v>
      </c>
      <c r="I20" s="28">
        <v>6</v>
      </c>
      <c r="J20" s="28">
        <f t="shared" si="13"/>
        <v>30</v>
      </c>
      <c r="K20" s="28">
        <v>10</v>
      </c>
      <c r="L20" s="28">
        <f t="shared" si="14"/>
        <v>50</v>
      </c>
      <c r="M20" s="28">
        <v>0</v>
      </c>
      <c r="N20" s="28">
        <f t="shared" si="15"/>
        <v>0</v>
      </c>
      <c r="O20" s="60">
        <f t="shared" si="16"/>
        <v>0.33333333333333331</v>
      </c>
      <c r="P20" s="27">
        <f t="shared" si="9"/>
        <v>30</v>
      </c>
      <c r="Q20" s="28">
        <v>51.9</v>
      </c>
      <c r="R20" s="29" cm="1">
        <f t="array" ref="R20">_xlfn.IFS(Q20&gt;=80, 4, Q20&gt;=75, 3.5, Q20&gt;=70, 3, Q20&gt;=65, 2.5, Q20&gt;=60, 2, Q20&gt;=55, 1.5, Q20&gt;=50, 1, Q20&lt;50, 0)</f>
        <v>1</v>
      </c>
      <c r="S20" s="22">
        <v>54.62</v>
      </c>
      <c r="T20" s="22">
        <v>66.08</v>
      </c>
      <c r="U20" s="27">
        <f t="shared" si="17"/>
        <v>24.579000000000001</v>
      </c>
      <c r="V20" s="27">
        <f t="shared" si="18"/>
        <v>19.823999999999998</v>
      </c>
      <c r="W20" s="27">
        <f t="shared" si="19"/>
        <v>7.5</v>
      </c>
      <c r="X20" s="27">
        <f t="shared" si="20"/>
        <v>51.902999999999999</v>
      </c>
      <c r="Y20" s="28" t="str">
        <f t="shared" si="11"/>
        <v>Match</v>
      </c>
      <c r="Z20" s="61" t="str">
        <f t="shared" si="21"/>
        <v>Your end-of-term exam marks are: Speaking 40%, Listening 30%, Reading 50%, and Writing 0%</v>
      </c>
      <c r="AA20" s="59"/>
      <c r="AB20" s="59"/>
      <c r="AC20" s="59"/>
      <c r="AD20" s="59"/>
      <c r="AE20" s="59"/>
      <c r="AF20" s="59"/>
    </row>
    <row r="21" spans="1:32" ht="15.75" customHeight="1">
      <c r="A21" s="59" t="s">
        <v>80</v>
      </c>
      <c r="B21" s="59" t="s">
        <v>97</v>
      </c>
      <c r="C21" s="44">
        <v>0</v>
      </c>
      <c r="D21" s="76" t="s">
        <v>99</v>
      </c>
      <c r="E21" s="17" t="s">
        <v>100</v>
      </c>
      <c r="F21" s="19" t="s">
        <v>3</v>
      </c>
      <c r="G21" s="28">
        <v>6.5</v>
      </c>
      <c r="H21" s="28">
        <f t="shared" si="12"/>
        <v>65</v>
      </c>
      <c r="I21" s="28">
        <v>5</v>
      </c>
      <c r="J21" s="28">
        <f t="shared" si="13"/>
        <v>25</v>
      </c>
      <c r="K21" s="28">
        <v>5</v>
      </c>
      <c r="L21" s="28">
        <f t="shared" si="14"/>
        <v>25</v>
      </c>
      <c r="M21" s="28">
        <v>4</v>
      </c>
      <c r="N21" s="28">
        <f t="shared" si="15"/>
        <v>40</v>
      </c>
      <c r="O21" s="60">
        <f t="shared" si="16"/>
        <v>0.34166666666666667</v>
      </c>
      <c r="P21" s="27">
        <f t="shared" si="9"/>
        <v>38.75</v>
      </c>
      <c r="Q21" s="28">
        <v>58.88</v>
      </c>
      <c r="R21" s="29" cm="1">
        <f t="array" ref="R21">_xlfn.IFS(Q21&gt;=80, 4, Q21&gt;=75, 3.5, Q21&gt;=70, 3, Q21&gt;=65, 2.5, Q21&gt;=60, 2, Q21&gt;=55, 1.5, Q21&gt;=50, 1, Q21&lt;50, 0)</f>
        <v>1.5</v>
      </c>
      <c r="S21" s="22">
        <v>69.53</v>
      </c>
      <c r="T21" s="22">
        <v>59.68</v>
      </c>
      <c r="U21" s="27">
        <f t="shared" si="17"/>
        <v>31.288500000000003</v>
      </c>
      <c r="V21" s="27">
        <f t="shared" si="18"/>
        <v>17.904</v>
      </c>
      <c r="W21" s="27">
        <f t="shared" si="19"/>
        <v>9.6875</v>
      </c>
      <c r="X21" s="27">
        <f t="shared" si="20"/>
        <v>58.88</v>
      </c>
      <c r="Y21" s="28" t="str">
        <f t="shared" si="11"/>
        <v>Match</v>
      </c>
      <c r="Z21" s="61" t="str">
        <f t="shared" si="21"/>
        <v>Your end-of-term exam marks are: Speaking 65%, Listening 25%, Reading 25%, and Writing 40%</v>
      </c>
      <c r="AA21" s="59"/>
      <c r="AB21" s="59"/>
      <c r="AC21" s="59"/>
      <c r="AD21" s="59"/>
      <c r="AE21" s="59"/>
      <c r="AF21" s="59"/>
    </row>
    <row r="22" spans="1:32" ht="15.75" customHeight="1">
      <c r="A22" s="59" t="s">
        <v>80</v>
      </c>
      <c r="B22" s="59" t="s">
        <v>97</v>
      </c>
      <c r="C22" s="44">
        <v>0</v>
      </c>
      <c r="D22" s="76" t="s">
        <v>99</v>
      </c>
      <c r="E22" s="17" t="s">
        <v>100</v>
      </c>
      <c r="F22" s="19" t="s">
        <v>3</v>
      </c>
      <c r="G22" s="28">
        <v>7</v>
      </c>
      <c r="H22" s="28">
        <f t="shared" si="12"/>
        <v>70</v>
      </c>
      <c r="I22" s="28">
        <v>12</v>
      </c>
      <c r="J22" s="28">
        <f t="shared" si="13"/>
        <v>60</v>
      </c>
      <c r="K22" s="28">
        <v>8</v>
      </c>
      <c r="L22" s="28">
        <f t="shared" si="14"/>
        <v>40</v>
      </c>
      <c r="M22" s="28">
        <v>6</v>
      </c>
      <c r="N22" s="28">
        <f t="shared" si="15"/>
        <v>60</v>
      </c>
      <c r="O22" s="60">
        <f t="shared" si="16"/>
        <v>0.55000000000000004</v>
      </c>
      <c r="P22" s="27">
        <f t="shared" si="9"/>
        <v>57.5</v>
      </c>
      <c r="Q22" s="28">
        <v>69.39</v>
      </c>
      <c r="R22" s="29" cm="1">
        <f t="array" ref="R22">_xlfn.IFS(Q22&gt;=80, 4, Q22&gt;=75, 3.5, Q22&gt;=70, 3, Q22&gt;=65, 2.5, Q22&gt;=60, 2, Q22&gt;=55, 1.5, Q22&gt;=50, 1, Q22&lt;50, 0)</f>
        <v>2.5</v>
      </c>
      <c r="S22" s="22">
        <v>75.260000000000005</v>
      </c>
      <c r="T22" s="22">
        <v>70.5</v>
      </c>
      <c r="U22" s="27">
        <f t="shared" si="17"/>
        <v>33.867000000000004</v>
      </c>
      <c r="V22" s="27">
        <f t="shared" si="18"/>
        <v>21.15</v>
      </c>
      <c r="W22" s="27">
        <f t="shared" si="19"/>
        <v>14.375</v>
      </c>
      <c r="X22" s="27">
        <f t="shared" si="20"/>
        <v>69.391999999999996</v>
      </c>
      <c r="Y22" s="28" t="str">
        <f t="shared" si="11"/>
        <v>Match</v>
      </c>
      <c r="Z22" s="61" t="str">
        <f t="shared" si="21"/>
        <v>Your end-of-term exam marks are: Speaking 70%, Listening 60%, Reading 40%, and Writing 60%</v>
      </c>
      <c r="AA22" s="59"/>
      <c r="AB22" s="59"/>
      <c r="AC22" s="59"/>
      <c r="AD22" s="59"/>
      <c r="AE22" s="59"/>
      <c r="AF22" s="59"/>
    </row>
    <row r="23" spans="1:32" ht="15.75" customHeight="1">
      <c r="A23" s="59" t="s">
        <v>80</v>
      </c>
      <c r="B23" s="59" t="s">
        <v>97</v>
      </c>
      <c r="C23" s="44">
        <v>0</v>
      </c>
      <c r="D23" s="76" t="s">
        <v>99</v>
      </c>
      <c r="E23" s="17" t="s">
        <v>100</v>
      </c>
      <c r="F23" s="19" t="s">
        <v>3</v>
      </c>
      <c r="G23" s="28">
        <v>6.5</v>
      </c>
      <c r="H23" s="28">
        <f t="shared" si="12"/>
        <v>65</v>
      </c>
      <c r="I23" s="28">
        <v>6</v>
      </c>
      <c r="J23" s="28">
        <f t="shared" si="13"/>
        <v>30</v>
      </c>
      <c r="K23" s="28">
        <v>9</v>
      </c>
      <c r="L23" s="28">
        <f t="shared" si="14"/>
        <v>45</v>
      </c>
      <c r="M23" s="28">
        <v>6</v>
      </c>
      <c r="N23" s="28">
        <f t="shared" si="15"/>
        <v>60</v>
      </c>
      <c r="O23" s="60">
        <f t="shared" si="16"/>
        <v>0.45833333333333331</v>
      </c>
      <c r="P23" s="27">
        <f t="shared" si="9"/>
        <v>50</v>
      </c>
      <c r="Q23" s="28">
        <v>66.17</v>
      </c>
      <c r="R23" s="29" cm="1">
        <f t="array" ref="R23">_xlfn.IFS(Q23&gt;=80, 4, Q23&gt;=75, 3.5, Q23&gt;=70, 3, Q23&gt;=65, 2.5, Q23&gt;=60, 2, Q23&gt;=55, 1.5, Q23&gt;=50, 1, Q23&lt;50, 0)</f>
        <v>2.5</v>
      </c>
      <c r="S23" s="22">
        <v>87.14</v>
      </c>
      <c r="T23" s="22">
        <v>48.2</v>
      </c>
      <c r="U23" s="27">
        <f t="shared" si="17"/>
        <v>39.213000000000001</v>
      </c>
      <c r="V23" s="27">
        <f t="shared" si="18"/>
        <v>14.46</v>
      </c>
      <c r="W23" s="27">
        <f t="shared" si="19"/>
        <v>12.5</v>
      </c>
      <c r="X23" s="27">
        <f t="shared" si="20"/>
        <v>66.173000000000002</v>
      </c>
      <c r="Y23" s="28" t="str">
        <f t="shared" si="11"/>
        <v>Match</v>
      </c>
      <c r="Z23" s="61" t="str">
        <f t="shared" si="21"/>
        <v>Your end-of-term exam marks are: Speaking 65%, Listening 30%, Reading 45%, and Writing 60%</v>
      </c>
      <c r="AA23" s="59"/>
      <c r="AB23" s="59"/>
      <c r="AC23" s="59"/>
      <c r="AD23" s="59"/>
      <c r="AE23" s="59"/>
      <c r="AF23" s="59"/>
    </row>
    <row r="24" spans="1:32" ht="15.75" customHeight="1">
      <c r="A24" s="59" t="s">
        <v>80</v>
      </c>
      <c r="B24" s="59" t="s">
        <v>97</v>
      </c>
      <c r="C24" s="44">
        <v>0</v>
      </c>
      <c r="D24" s="76" t="s">
        <v>99</v>
      </c>
      <c r="E24" s="17" t="s">
        <v>100</v>
      </c>
      <c r="F24" s="19" t="s">
        <v>3</v>
      </c>
      <c r="G24" s="28">
        <v>6.5</v>
      </c>
      <c r="H24" s="28">
        <f t="shared" si="12"/>
        <v>65</v>
      </c>
      <c r="I24" s="28">
        <v>7.5</v>
      </c>
      <c r="J24" s="28">
        <f t="shared" si="13"/>
        <v>37.5</v>
      </c>
      <c r="K24" s="28">
        <v>8</v>
      </c>
      <c r="L24" s="28">
        <f t="shared" si="14"/>
        <v>40</v>
      </c>
      <c r="M24" s="28">
        <v>7</v>
      </c>
      <c r="N24" s="28">
        <f t="shared" si="15"/>
        <v>70</v>
      </c>
      <c r="O24" s="60">
        <f t="shared" si="16"/>
        <v>0.48333333333333334</v>
      </c>
      <c r="P24" s="27">
        <f t="shared" si="9"/>
        <v>53.125</v>
      </c>
      <c r="Q24" s="28">
        <v>58.12</v>
      </c>
      <c r="R24" s="29" cm="1">
        <f t="array" ref="R24">_xlfn.IFS(Q24&gt;=80, 4, Q24&gt;=75, 3.5, Q24&gt;=70, 3, Q24&gt;=65, 2.5, Q24&gt;=60, 2, Q24&gt;=55, 1.5, Q24&gt;=50, 1, Q24&lt;50, 0)</f>
        <v>1.5</v>
      </c>
      <c r="S24" s="22">
        <v>63.03</v>
      </c>
      <c r="T24" s="22">
        <v>54.91</v>
      </c>
      <c r="U24" s="27">
        <f t="shared" si="17"/>
        <v>28.363500000000002</v>
      </c>
      <c r="V24" s="27">
        <f t="shared" si="18"/>
        <v>16.472999999999999</v>
      </c>
      <c r="W24" s="27">
        <f t="shared" si="19"/>
        <v>13.28125</v>
      </c>
      <c r="X24" s="27">
        <f t="shared" si="20"/>
        <v>58.117750000000001</v>
      </c>
      <c r="Y24" s="28" t="str">
        <f t="shared" si="11"/>
        <v>Match</v>
      </c>
      <c r="Z24" s="61" t="str">
        <f t="shared" si="21"/>
        <v>Your end-of-term exam marks are: Speaking 65%, Listening 37.5%, Reading 40%, and Writing 70%</v>
      </c>
      <c r="AA24" s="59"/>
      <c r="AB24" s="59"/>
      <c r="AC24" s="59"/>
      <c r="AD24" s="59"/>
      <c r="AE24" s="59"/>
      <c r="AF24" s="59"/>
    </row>
    <row r="25" spans="1:32" ht="15.75" customHeight="1">
      <c r="A25" s="59" t="s">
        <v>80</v>
      </c>
      <c r="B25" s="59" t="s">
        <v>97</v>
      </c>
      <c r="C25" s="44">
        <v>0</v>
      </c>
      <c r="D25" s="76" t="s">
        <v>99</v>
      </c>
      <c r="E25" s="17" t="s">
        <v>100</v>
      </c>
      <c r="F25" s="19" t="s">
        <v>3</v>
      </c>
      <c r="G25" s="28">
        <v>5</v>
      </c>
      <c r="H25" s="28">
        <f t="shared" si="12"/>
        <v>50</v>
      </c>
      <c r="I25" s="28">
        <v>4</v>
      </c>
      <c r="J25" s="28">
        <f t="shared" si="13"/>
        <v>20</v>
      </c>
      <c r="K25" s="28">
        <v>8</v>
      </c>
      <c r="L25" s="28">
        <f t="shared" si="14"/>
        <v>40</v>
      </c>
      <c r="M25" s="28">
        <v>0</v>
      </c>
      <c r="N25" s="28">
        <f t="shared" si="15"/>
        <v>0</v>
      </c>
      <c r="O25" s="60">
        <f t="shared" si="16"/>
        <v>0.28333333333333333</v>
      </c>
      <c r="P25" s="27">
        <f t="shared" si="9"/>
        <v>27.5</v>
      </c>
      <c r="Q25" s="28">
        <v>64.11</v>
      </c>
      <c r="R25" s="29" cm="1">
        <f t="array" ref="R25">_xlfn.IFS(Q25&gt;=80, 4, Q25&gt;=75, 3.5, Q25&gt;=70, 3, Q25&gt;=65, 2.5, Q25&gt;=60, 2, Q25&gt;=55, 1.5, Q25&gt;=50, 1, Q25&lt;50, 0)</f>
        <v>2</v>
      </c>
      <c r="S25" s="22">
        <v>84.21</v>
      </c>
      <c r="T25" s="22">
        <v>64.459999999999994</v>
      </c>
      <c r="U25" s="27">
        <f t="shared" si="17"/>
        <v>37.894500000000001</v>
      </c>
      <c r="V25" s="27">
        <f t="shared" si="18"/>
        <v>19.337999999999997</v>
      </c>
      <c r="W25" s="27">
        <f t="shared" si="19"/>
        <v>6.875</v>
      </c>
      <c r="X25" s="27">
        <f t="shared" si="20"/>
        <v>64.107500000000002</v>
      </c>
      <c r="Y25" s="28" t="str">
        <f t="shared" si="11"/>
        <v>Match</v>
      </c>
      <c r="Z25" s="61" t="str">
        <f t="shared" si="21"/>
        <v>Your end-of-term exam marks are: Speaking 50%, Listening 20%, Reading 40%, and Writing 0%</v>
      </c>
      <c r="AA25" s="59"/>
      <c r="AB25" s="59"/>
      <c r="AC25" s="59"/>
      <c r="AD25" s="59"/>
      <c r="AE25" s="59"/>
      <c r="AF25" s="59"/>
    </row>
    <row r="26" spans="1:32" ht="15.75" customHeight="1">
      <c r="A26" s="59" t="s">
        <v>80</v>
      </c>
      <c r="B26" s="59" t="s">
        <v>97</v>
      </c>
      <c r="C26" s="44">
        <v>0</v>
      </c>
      <c r="D26" s="76" t="s">
        <v>99</v>
      </c>
      <c r="E26" s="17" t="s">
        <v>100</v>
      </c>
      <c r="F26" s="19" t="s">
        <v>3</v>
      </c>
      <c r="G26" s="28">
        <v>7</v>
      </c>
      <c r="H26" s="28">
        <f t="shared" si="12"/>
        <v>70</v>
      </c>
      <c r="I26" s="28">
        <v>10</v>
      </c>
      <c r="J26" s="28">
        <f t="shared" si="13"/>
        <v>50</v>
      </c>
      <c r="K26" s="28">
        <v>8</v>
      </c>
      <c r="L26" s="28">
        <f t="shared" si="14"/>
        <v>40</v>
      </c>
      <c r="M26" s="28">
        <v>7</v>
      </c>
      <c r="N26" s="28">
        <f t="shared" si="15"/>
        <v>70</v>
      </c>
      <c r="O26" s="60">
        <f t="shared" si="16"/>
        <v>0.53333333333333333</v>
      </c>
      <c r="P26" s="27">
        <f t="shared" si="9"/>
        <v>57.5</v>
      </c>
      <c r="Q26" s="28">
        <v>71.88</v>
      </c>
      <c r="R26" s="29" cm="1">
        <f t="array" ref="R26">_xlfn.IFS(Q26&gt;=80, 4, Q26&gt;=75, 3.5, Q26&gt;=70, 3, Q26&gt;=65, 2.5, Q26&gt;=60, 2, Q26&gt;=55, 1.5, Q26&gt;=50, 1, Q26&lt;50, 0)</f>
        <v>3</v>
      </c>
      <c r="S26" s="22">
        <v>78.25</v>
      </c>
      <c r="T26" s="22">
        <v>74.319999999999993</v>
      </c>
      <c r="U26" s="27">
        <f t="shared" si="17"/>
        <v>35.212499999999999</v>
      </c>
      <c r="V26" s="27">
        <f t="shared" si="18"/>
        <v>22.295999999999996</v>
      </c>
      <c r="W26" s="27">
        <f t="shared" si="19"/>
        <v>14.375</v>
      </c>
      <c r="X26" s="27">
        <f t="shared" si="20"/>
        <v>71.883499999999998</v>
      </c>
      <c r="Y26" s="28" t="str">
        <f t="shared" si="11"/>
        <v>Match</v>
      </c>
      <c r="Z26" s="61" t="str">
        <f t="shared" si="21"/>
        <v>Your end-of-term exam marks are: Speaking 70%, Listening 50%, Reading 40%, and Writing 70%</v>
      </c>
      <c r="AA26" s="59"/>
      <c r="AB26" s="59"/>
      <c r="AC26" s="59"/>
      <c r="AD26" s="59"/>
      <c r="AE26" s="59"/>
      <c r="AF26" s="59"/>
    </row>
    <row r="27" spans="1:32" ht="15.75" customHeight="1">
      <c r="A27" s="59" t="s">
        <v>80</v>
      </c>
      <c r="B27" s="59" t="s">
        <v>97</v>
      </c>
      <c r="C27" s="44">
        <v>0</v>
      </c>
      <c r="D27" s="76" t="s">
        <v>99</v>
      </c>
      <c r="E27" s="17" t="s">
        <v>100</v>
      </c>
      <c r="F27" s="19" t="s">
        <v>3</v>
      </c>
      <c r="G27" s="28">
        <v>6</v>
      </c>
      <c r="H27" s="28">
        <f t="shared" si="12"/>
        <v>60</v>
      </c>
      <c r="I27" s="28">
        <v>7</v>
      </c>
      <c r="J27" s="28">
        <f t="shared" si="13"/>
        <v>35</v>
      </c>
      <c r="K27" s="28">
        <v>7</v>
      </c>
      <c r="L27" s="28">
        <f t="shared" si="14"/>
        <v>35</v>
      </c>
      <c r="M27" s="28">
        <v>1</v>
      </c>
      <c r="N27" s="28">
        <f t="shared" si="15"/>
        <v>10</v>
      </c>
      <c r="O27" s="60">
        <f t="shared" si="16"/>
        <v>0.35</v>
      </c>
      <c r="P27" s="27">
        <f t="shared" si="9"/>
        <v>35</v>
      </c>
      <c r="Q27" s="28">
        <v>62.74</v>
      </c>
      <c r="R27" s="29" cm="1">
        <f t="array" ref="R27">_xlfn.IFS(Q27&gt;=80, 4, Q27&gt;=75, 3.5, Q27&gt;=70, 3, Q27&gt;=65, 2.5, Q27&gt;=60, 2, Q27&gt;=55, 1.5, Q27&gt;=50, 1, Q27&lt;50, 0)</f>
        <v>2</v>
      </c>
      <c r="S27" s="22">
        <v>79.400000000000006</v>
      </c>
      <c r="T27" s="22">
        <v>60.86</v>
      </c>
      <c r="U27" s="27">
        <f t="shared" si="17"/>
        <v>35.730000000000004</v>
      </c>
      <c r="V27" s="27">
        <f t="shared" si="18"/>
        <v>18.257999999999999</v>
      </c>
      <c r="W27" s="27">
        <f t="shared" si="19"/>
        <v>8.75</v>
      </c>
      <c r="X27" s="27">
        <f t="shared" si="20"/>
        <v>62.738</v>
      </c>
      <c r="Y27" s="28" t="str">
        <f t="shared" si="11"/>
        <v>Match</v>
      </c>
      <c r="Z27" s="61" t="str">
        <f t="shared" si="21"/>
        <v>Your end-of-term exam marks are: Speaking 60%, Listening 35%, Reading 35%, and Writing 10%</v>
      </c>
      <c r="AA27" s="59"/>
      <c r="AB27" s="59"/>
      <c r="AC27" s="59"/>
      <c r="AD27" s="59"/>
      <c r="AE27" s="59"/>
      <c r="AF27" s="59"/>
    </row>
    <row r="28" spans="1:32" ht="15.75" customHeight="1">
      <c r="A28" s="59" t="s">
        <v>80</v>
      </c>
      <c r="B28" s="59" t="s">
        <v>97</v>
      </c>
      <c r="C28" s="44">
        <v>0</v>
      </c>
      <c r="D28" s="76" t="s">
        <v>99</v>
      </c>
      <c r="E28" s="17" t="s">
        <v>100</v>
      </c>
      <c r="F28" s="19" t="s">
        <v>3</v>
      </c>
      <c r="G28" s="28">
        <v>6</v>
      </c>
      <c r="H28" s="28">
        <f t="shared" si="12"/>
        <v>60</v>
      </c>
      <c r="I28" s="28">
        <v>5.5</v>
      </c>
      <c r="J28" s="28">
        <f t="shared" si="13"/>
        <v>27.500000000000004</v>
      </c>
      <c r="K28" s="28">
        <v>8</v>
      </c>
      <c r="L28" s="28">
        <f t="shared" si="14"/>
        <v>40</v>
      </c>
      <c r="M28" s="28">
        <v>2</v>
      </c>
      <c r="N28" s="28">
        <f t="shared" si="15"/>
        <v>20</v>
      </c>
      <c r="O28" s="60">
        <f t="shared" si="16"/>
        <v>0.35833333333333334</v>
      </c>
      <c r="P28" s="27">
        <f t="shared" si="9"/>
        <v>36.875</v>
      </c>
      <c r="Q28" s="28">
        <v>50.32</v>
      </c>
      <c r="R28" s="29" cm="1">
        <f t="array" ref="R28">_xlfn.IFS(Q28&gt;=80, 4, Q28&gt;=75, 3.5, Q28&gt;=70, 3, Q28&gt;=65, 2.5, Q28&gt;=60, 2, Q28&gt;=55, 1.5, Q28&gt;=50, 1, Q28&lt;50, 0)</f>
        <v>1</v>
      </c>
      <c r="S28" s="22">
        <v>64.099999999999994</v>
      </c>
      <c r="T28" s="22">
        <v>40.86</v>
      </c>
      <c r="U28" s="27">
        <f t="shared" si="17"/>
        <v>28.844999999999999</v>
      </c>
      <c r="V28" s="27">
        <f t="shared" si="18"/>
        <v>12.257999999999999</v>
      </c>
      <c r="W28" s="27">
        <f t="shared" si="19"/>
        <v>9.21875</v>
      </c>
      <c r="X28" s="27">
        <f t="shared" si="20"/>
        <v>50.321749999999994</v>
      </c>
      <c r="Y28" s="28" t="str">
        <f t="shared" si="11"/>
        <v>Match</v>
      </c>
      <c r="Z28" s="61" t="str">
        <f t="shared" si="21"/>
        <v>Your end-of-term exam marks are: Speaking 60%, Listening 27.5%, Reading 40%, and Writing 20%</v>
      </c>
      <c r="AA28" s="59"/>
      <c r="AB28" s="59"/>
      <c r="AC28" s="59"/>
      <c r="AD28" s="59"/>
      <c r="AE28" s="59"/>
      <c r="AF28" s="59"/>
    </row>
    <row r="29" spans="1:32" ht="15.75" customHeight="1">
      <c r="A29" s="62"/>
      <c r="B29" s="62"/>
      <c r="C29" s="63"/>
      <c r="D29" s="62"/>
      <c r="E29" s="62"/>
      <c r="F29" s="62"/>
      <c r="G29" s="40"/>
      <c r="H29" s="64">
        <f>AVERAGE(H16:H28)</f>
        <v>65.384615384615387</v>
      </c>
      <c r="I29" s="64"/>
      <c r="J29" s="64">
        <f>AVERAGE(J16:J28)</f>
        <v>36.153846153846153</v>
      </c>
      <c r="K29" s="64"/>
      <c r="L29" s="64">
        <f>AVERAGE(L16:L28)</f>
        <v>42.692307692307693</v>
      </c>
      <c r="M29" s="64"/>
      <c r="N29" s="64">
        <f>AVERAGE(N16:N28)</f>
        <v>40.769230769230766</v>
      </c>
      <c r="O29" s="77">
        <f>AVERAGE(O16:O28)</f>
        <v>0.43974358974358968</v>
      </c>
      <c r="P29" s="80">
        <f>AVERAGE(P16:P28)</f>
        <v>46.25</v>
      </c>
      <c r="Q29" s="78">
        <f>AVERAGE(Q16:Q28)</f>
        <v>63.321538461538466</v>
      </c>
      <c r="R29" s="40"/>
      <c r="S29" s="79">
        <f>AVERAGE(S16:S28)</f>
        <v>74.393846153846155</v>
      </c>
      <c r="T29" s="79">
        <f>AVERAGE(T16:T28)</f>
        <v>60.943076923076923</v>
      </c>
      <c r="U29" s="65"/>
      <c r="V29" s="65"/>
      <c r="W29" s="65"/>
      <c r="X29" s="65"/>
      <c r="Y29" s="65"/>
      <c r="Z29" s="40"/>
      <c r="AA29" s="59"/>
      <c r="AB29" s="59"/>
      <c r="AC29" s="59"/>
      <c r="AD29" s="59"/>
      <c r="AE29" s="59"/>
      <c r="AF29" s="59"/>
    </row>
    <row r="30" spans="1:32" ht="15.75" customHeight="1">
      <c r="A30" s="59" t="s">
        <v>80</v>
      </c>
      <c r="B30" s="59" t="s">
        <v>98</v>
      </c>
      <c r="C30" s="44">
        <v>0</v>
      </c>
      <c r="D30" s="76" t="s">
        <v>99</v>
      </c>
      <c r="E30" s="17" t="s">
        <v>100</v>
      </c>
      <c r="F30" s="19" t="s">
        <v>3</v>
      </c>
      <c r="G30" s="28">
        <v>7</v>
      </c>
      <c r="H30" s="28">
        <f t="shared" ref="H30:H41" si="22">(G30/10)*100</f>
        <v>70</v>
      </c>
      <c r="I30" s="28">
        <v>11</v>
      </c>
      <c r="J30" s="28">
        <f t="shared" ref="J30:J41" si="23">(I30/20)*100</f>
        <v>55.000000000000007</v>
      </c>
      <c r="K30" s="28">
        <v>16</v>
      </c>
      <c r="L30" s="28">
        <f t="shared" ref="L30:L41" si="24">(K30/20)*100</f>
        <v>80</v>
      </c>
      <c r="M30" s="28">
        <v>7</v>
      </c>
      <c r="N30" s="28">
        <f t="shared" ref="N30:N41" si="25">(M30/10)*100</f>
        <v>70</v>
      </c>
      <c r="O30" s="60">
        <f t="shared" ref="O30:O41" si="26">(SUM(G30,I30,K30,M30)/60)</f>
        <v>0.68333333333333335</v>
      </c>
      <c r="P30" s="27">
        <f t="shared" si="9"/>
        <v>68.75</v>
      </c>
      <c r="Q30" s="28">
        <v>79.83</v>
      </c>
      <c r="R30" s="29" cm="1">
        <f t="array" ref="R30">_xlfn.IFS(Q30&gt;=80, 4, Q30&gt;=75, 3.5, Q30&gt;=70, 3, Q30&gt;=65, 2.5, Q30&gt;=60, 2, Q30&gt;=55, 1.5, Q30&gt;=50, 1, Q30&lt;50, 0)</f>
        <v>3.5</v>
      </c>
      <c r="S30" s="22">
        <v>87.5</v>
      </c>
      <c r="T30" s="22">
        <v>77.56</v>
      </c>
      <c r="U30" s="27">
        <f t="shared" ref="U30:U41" si="27">S30*0.45</f>
        <v>39.375</v>
      </c>
      <c r="V30" s="27">
        <f t="shared" ref="V30:V41" si="28">T30*0.3</f>
        <v>23.268000000000001</v>
      </c>
      <c r="W30" s="27">
        <f t="shared" ref="W30:W41" si="29">P30*0.25</f>
        <v>17.1875</v>
      </c>
      <c r="X30" s="27">
        <f t="shared" ref="X30:X41" si="30">SUM(U30:W30)</f>
        <v>79.830500000000001</v>
      </c>
      <c r="Y30" s="28" t="str">
        <f t="shared" ref="Y30:Y41" si="31">IF(ROUND(Q30,1)=ROUND(X30,1), "Match", "No Match")</f>
        <v>Match</v>
      </c>
      <c r="Z30" s="61" t="str">
        <f t="shared" ref="Z30:Z41" si="32">CONCATENATE("Your end-of-term exam marks are: Speaking ", H30, "%, Listening ", ROUND(J30, 2), "%, Reading ", ROUND(L30, 2), "%, and Writing ", ROUND(N30, 2), "%")</f>
        <v>Your end-of-term exam marks are: Speaking 70%, Listening 55%, Reading 80%, and Writing 70%</v>
      </c>
      <c r="AA30" s="59"/>
      <c r="AB30" s="59"/>
      <c r="AC30" s="59"/>
      <c r="AD30" s="59"/>
      <c r="AE30" s="59"/>
      <c r="AF30" s="59"/>
    </row>
    <row r="31" spans="1:32" ht="15.75" customHeight="1">
      <c r="A31" s="59" t="s">
        <v>80</v>
      </c>
      <c r="B31" s="59" t="s">
        <v>98</v>
      </c>
      <c r="C31" s="44">
        <v>0</v>
      </c>
      <c r="D31" s="76" t="s">
        <v>99</v>
      </c>
      <c r="E31" s="17" t="s">
        <v>100</v>
      </c>
      <c r="F31" s="19" t="s">
        <v>3</v>
      </c>
      <c r="G31" s="28">
        <v>7</v>
      </c>
      <c r="H31" s="28">
        <f t="shared" si="22"/>
        <v>70</v>
      </c>
      <c r="I31" s="28">
        <v>13</v>
      </c>
      <c r="J31" s="28">
        <f t="shared" si="23"/>
        <v>65</v>
      </c>
      <c r="K31" s="28">
        <v>13</v>
      </c>
      <c r="L31" s="28">
        <f t="shared" si="24"/>
        <v>65</v>
      </c>
      <c r="M31" s="28">
        <v>7</v>
      </c>
      <c r="N31" s="28">
        <f t="shared" si="25"/>
        <v>70</v>
      </c>
      <c r="O31" s="60">
        <f t="shared" si="26"/>
        <v>0.66666666666666663</v>
      </c>
      <c r="P31" s="27">
        <f t="shared" si="9"/>
        <v>67.5</v>
      </c>
      <c r="Q31" s="28">
        <v>80.44</v>
      </c>
      <c r="R31" s="29" cm="1">
        <f t="array" ref="R31">_xlfn.IFS(Q31&gt;=80, 4, Q31&gt;=75, 3.5, Q31&gt;=70, 3, Q31&gt;=65, 2.5, Q31&gt;=60, 2, Q31&gt;=55, 1.5, Q31&gt;=50, 1, Q31&lt;50, 0)</f>
        <v>4</v>
      </c>
      <c r="S31" s="22">
        <v>78.290000000000006</v>
      </c>
      <c r="T31" s="22">
        <v>94.44</v>
      </c>
      <c r="U31" s="27">
        <f t="shared" si="27"/>
        <v>35.230500000000006</v>
      </c>
      <c r="V31" s="27">
        <f t="shared" si="28"/>
        <v>28.331999999999997</v>
      </c>
      <c r="W31" s="27">
        <f t="shared" si="29"/>
        <v>16.875</v>
      </c>
      <c r="X31" s="27">
        <f t="shared" si="30"/>
        <v>80.4375</v>
      </c>
      <c r="Y31" s="28" t="str">
        <f t="shared" si="31"/>
        <v>Match</v>
      </c>
      <c r="Z31" s="61" t="str">
        <f t="shared" si="32"/>
        <v>Your end-of-term exam marks are: Speaking 70%, Listening 65%, Reading 65%, and Writing 70%</v>
      </c>
      <c r="AA31" s="59"/>
      <c r="AB31" s="59"/>
      <c r="AC31" s="59"/>
      <c r="AD31" s="59"/>
      <c r="AE31" s="59"/>
      <c r="AF31" s="59"/>
    </row>
    <row r="32" spans="1:32" ht="15.75" customHeight="1">
      <c r="A32" s="59" t="s">
        <v>80</v>
      </c>
      <c r="B32" s="59" t="s">
        <v>98</v>
      </c>
      <c r="C32" s="44">
        <v>0</v>
      </c>
      <c r="D32" s="76" t="s">
        <v>99</v>
      </c>
      <c r="E32" s="17" t="s">
        <v>100</v>
      </c>
      <c r="F32" s="19" t="s">
        <v>3</v>
      </c>
      <c r="G32" s="28">
        <v>8</v>
      </c>
      <c r="H32" s="28">
        <f t="shared" si="22"/>
        <v>80</v>
      </c>
      <c r="I32" s="28">
        <v>13</v>
      </c>
      <c r="J32" s="28">
        <f t="shared" si="23"/>
        <v>65</v>
      </c>
      <c r="K32" s="28">
        <v>15</v>
      </c>
      <c r="L32" s="28">
        <f t="shared" si="24"/>
        <v>75</v>
      </c>
      <c r="M32" s="28">
        <v>7</v>
      </c>
      <c r="N32" s="28">
        <f t="shared" si="25"/>
        <v>70</v>
      </c>
      <c r="O32" s="60">
        <f t="shared" si="26"/>
        <v>0.71666666666666667</v>
      </c>
      <c r="P32" s="27">
        <f t="shared" si="9"/>
        <v>72.5</v>
      </c>
      <c r="Q32" s="28">
        <v>86.42</v>
      </c>
      <c r="R32" s="29" cm="1">
        <f t="array" ref="R32">_xlfn.IFS(Q32&gt;=80, 4, Q32&gt;=75, 3.5, Q32&gt;=70, 3, Q32&gt;=65, 2.5, Q32&gt;=60, 2, Q32&gt;=55, 1.5, Q32&gt;=50, 1, Q32&lt;50, 0)</f>
        <v>4</v>
      </c>
      <c r="S32" s="22">
        <v>85.09</v>
      </c>
      <c r="T32" s="22">
        <v>100</v>
      </c>
      <c r="U32" s="27">
        <f t="shared" si="27"/>
        <v>38.290500000000002</v>
      </c>
      <c r="V32" s="27">
        <f t="shared" si="28"/>
        <v>30</v>
      </c>
      <c r="W32" s="27">
        <f t="shared" si="29"/>
        <v>18.125</v>
      </c>
      <c r="X32" s="27">
        <f t="shared" si="30"/>
        <v>86.415500000000009</v>
      </c>
      <c r="Y32" s="28" t="str">
        <f t="shared" si="31"/>
        <v>Match</v>
      </c>
      <c r="Z32" s="61" t="str">
        <f t="shared" si="32"/>
        <v>Your end-of-term exam marks are: Speaking 80%, Listening 65%, Reading 75%, and Writing 70%</v>
      </c>
      <c r="AA32" s="59"/>
      <c r="AB32" s="59"/>
      <c r="AC32" s="59"/>
      <c r="AD32" s="59"/>
      <c r="AE32" s="59"/>
      <c r="AF32" s="59"/>
    </row>
    <row r="33" spans="1:32" ht="15.75" customHeight="1">
      <c r="A33" s="59" t="s">
        <v>80</v>
      </c>
      <c r="B33" s="59" t="s">
        <v>98</v>
      </c>
      <c r="C33" s="44">
        <v>0</v>
      </c>
      <c r="D33" s="76" t="s">
        <v>99</v>
      </c>
      <c r="E33" s="17" t="s">
        <v>100</v>
      </c>
      <c r="F33" s="19" t="s">
        <v>3</v>
      </c>
      <c r="G33" s="28">
        <v>6</v>
      </c>
      <c r="H33" s="28">
        <f t="shared" si="22"/>
        <v>60</v>
      </c>
      <c r="I33" s="28">
        <v>8</v>
      </c>
      <c r="J33" s="28">
        <f t="shared" si="23"/>
        <v>40</v>
      </c>
      <c r="K33" s="28">
        <v>12</v>
      </c>
      <c r="L33" s="28">
        <f t="shared" si="24"/>
        <v>60</v>
      </c>
      <c r="M33" s="28">
        <v>6</v>
      </c>
      <c r="N33" s="28">
        <f t="shared" si="25"/>
        <v>60</v>
      </c>
      <c r="O33" s="60">
        <f t="shared" si="26"/>
        <v>0.53333333333333333</v>
      </c>
      <c r="P33" s="27">
        <f t="shared" si="9"/>
        <v>55</v>
      </c>
      <c r="Q33" s="28">
        <v>73.5</v>
      </c>
      <c r="R33" s="29" cm="1">
        <f t="array" ref="R33">_xlfn.IFS(Q33&gt;=80, 4, Q33&gt;=75, 3.5, Q33&gt;=70, 3, Q33&gt;=65, 2.5, Q33&gt;=60, 2, Q33&gt;=55, 1.5, Q33&gt;=50, 1, Q33&lt;50, 0)</f>
        <v>3</v>
      </c>
      <c r="S33" s="22">
        <v>79.069999999999993</v>
      </c>
      <c r="T33" s="22">
        <v>80.56</v>
      </c>
      <c r="U33" s="27">
        <f t="shared" si="27"/>
        <v>35.581499999999998</v>
      </c>
      <c r="V33" s="27">
        <f t="shared" si="28"/>
        <v>24.167999999999999</v>
      </c>
      <c r="W33" s="27">
        <f t="shared" si="29"/>
        <v>13.75</v>
      </c>
      <c r="X33" s="27">
        <f t="shared" si="30"/>
        <v>73.499499999999998</v>
      </c>
      <c r="Y33" s="28" t="str">
        <f t="shared" si="31"/>
        <v>Match</v>
      </c>
      <c r="Z33" s="61" t="str">
        <f t="shared" si="32"/>
        <v>Your end-of-term exam marks are: Speaking 60%, Listening 40%, Reading 60%, and Writing 60%</v>
      </c>
      <c r="AA33" s="59"/>
      <c r="AB33" s="59"/>
      <c r="AC33" s="59"/>
      <c r="AD33" s="59"/>
      <c r="AE33" s="59"/>
      <c r="AF33" s="59"/>
    </row>
    <row r="34" spans="1:32" ht="15.75" customHeight="1">
      <c r="A34" s="59" t="s">
        <v>80</v>
      </c>
      <c r="B34" s="59" t="s">
        <v>98</v>
      </c>
      <c r="C34" s="44">
        <v>0</v>
      </c>
      <c r="D34" s="76" t="s">
        <v>99</v>
      </c>
      <c r="E34" s="17" t="s">
        <v>100</v>
      </c>
      <c r="F34" s="19" t="s">
        <v>3</v>
      </c>
      <c r="G34" s="28">
        <v>5</v>
      </c>
      <c r="H34" s="28">
        <f t="shared" si="22"/>
        <v>50</v>
      </c>
      <c r="I34" s="28">
        <v>9</v>
      </c>
      <c r="J34" s="28">
        <f t="shared" si="23"/>
        <v>45</v>
      </c>
      <c r="K34" s="28">
        <v>8</v>
      </c>
      <c r="L34" s="28">
        <f t="shared" si="24"/>
        <v>40</v>
      </c>
      <c r="M34" s="28">
        <v>6</v>
      </c>
      <c r="N34" s="28">
        <f t="shared" si="25"/>
        <v>60</v>
      </c>
      <c r="O34" s="60">
        <f t="shared" si="26"/>
        <v>0.46666666666666667</v>
      </c>
      <c r="P34" s="27">
        <f t="shared" si="9"/>
        <v>48.75</v>
      </c>
      <c r="Q34" s="28">
        <v>78.91</v>
      </c>
      <c r="R34" s="29" cm="1">
        <f t="array" ref="R34">_xlfn.IFS(Q34&gt;=80, 4, Q34&gt;=75, 3.5, Q34&gt;=70, 3, Q34&gt;=65, 2.5, Q34&gt;=60, 2, Q34&gt;=55, 1.5, Q34&gt;=50, 1, Q34&lt;50, 0)</f>
        <v>3.5</v>
      </c>
      <c r="S34" s="22">
        <v>85.88</v>
      </c>
      <c r="T34" s="22">
        <v>93.59</v>
      </c>
      <c r="U34" s="27">
        <f t="shared" si="27"/>
        <v>38.646000000000001</v>
      </c>
      <c r="V34" s="27">
        <f t="shared" si="28"/>
        <v>28.077000000000002</v>
      </c>
      <c r="W34" s="27">
        <f t="shared" si="29"/>
        <v>12.1875</v>
      </c>
      <c r="X34" s="27">
        <f t="shared" si="30"/>
        <v>78.910499999999999</v>
      </c>
      <c r="Y34" s="28" t="str">
        <f t="shared" si="31"/>
        <v>Match</v>
      </c>
      <c r="Z34" s="61" t="str">
        <f t="shared" si="32"/>
        <v>Your end-of-term exam marks are: Speaking 50%, Listening 45%, Reading 40%, and Writing 60%</v>
      </c>
      <c r="AA34" s="59"/>
      <c r="AB34" s="59"/>
      <c r="AC34" s="59"/>
      <c r="AD34" s="59"/>
      <c r="AE34" s="59"/>
      <c r="AF34" s="59"/>
    </row>
    <row r="35" spans="1:32" ht="15.75" customHeight="1">
      <c r="A35" s="59" t="s">
        <v>80</v>
      </c>
      <c r="B35" s="59" t="s">
        <v>98</v>
      </c>
      <c r="C35" s="44">
        <v>0</v>
      </c>
      <c r="D35" s="76" t="s">
        <v>99</v>
      </c>
      <c r="E35" s="17" t="s">
        <v>100</v>
      </c>
      <c r="F35" s="19" t="s">
        <v>3</v>
      </c>
      <c r="G35" s="28">
        <v>7</v>
      </c>
      <c r="H35" s="28">
        <f t="shared" si="22"/>
        <v>70</v>
      </c>
      <c r="I35" s="28">
        <v>15</v>
      </c>
      <c r="J35" s="28">
        <f t="shared" si="23"/>
        <v>75</v>
      </c>
      <c r="K35" s="28">
        <v>13</v>
      </c>
      <c r="L35" s="28">
        <f t="shared" si="24"/>
        <v>65</v>
      </c>
      <c r="M35" s="28">
        <v>7</v>
      </c>
      <c r="N35" s="28">
        <f t="shared" si="25"/>
        <v>70</v>
      </c>
      <c r="O35" s="60">
        <f t="shared" si="26"/>
        <v>0.7</v>
      </c>
      <c r="P35" s="27">
        <f t="shared" si="9"/>
        <v>70</v>
      </c>
      <c r="Q35" s="28">
        <v>80</v>
      </c>
      <c r="R35" s="29" cm="1">
        <f t="array" ref="R35">_xlfn.IFS(Q35&gt;=80, 4, Q35&gt;=75, 3.5, Q35&gt;=70, 3, Q35&gt;=65, 2.5, Q35&gt;=60, 2, Q35&gt;=55, 1.5, Q35&gt;=50, 1, Q35&lt;50, 0)</f>
        <v>4</v>
      </c>
      <c r="S35" s="22">
        <v>90.74</v>
      </c>
      <c r="T35" s="22">
        <v>72.22</v>
      </c>
      <c r="U35" s="27">
        <f t="shared" si="27"/>
        <v>40.832999999999998</v>
      </c>
      <c r="V35" s="27">
        <f t="shared" si="28"/>
        <v>21.666</v>
      </c>
      <c r="W35" s="27">
        <f t="shared" si="29"/>
        <v>17.5</v>
      </c>
      <c r="X35" s="27">
        <f t="shared" si="30"/>
        <v>79.998999999999995</v>
      </c>
      <c r="Y35" s="28" t="str">
        <f t="shared" si="31"/>
        <v>Match</v>
      </c>
      <c r="Z35" s="61" t="str">
        <f t="shared" si="32"/>
        <v>Your end-of-term exam marks are: Speaking 70%, Listening 75%, Reading 65%, and Writing 70%</v>
      </c>
      <c r="AA35" s="59"/>
      <c r="AB35" s="59"/>
      <c r="AC35" s="59"/>
      <c r="AD35" s="59"/>
      <c r="AE35" s="59"/>
      <c r="AF35" s="59"/>
    </row>
    <row r="36" spans="1:32" ht="15.75" customHeight="1">
      <c r="A36" s="59" t="s">
        <v>80</v>
      </c>
      <c r="B36" s="59" t="s">
        <v>98</v>
      </c>
      <c r="C36" s="44">
        <v>0</v>
      </c>
      <c r="D36" s="76" t="s">
        <v>99</v>
      </c>
      <c r="E36" s="17" t="s">
        <v>100</v>
      </c>
      <c r="F36" s="19" t="s">
        <v>3</v>
      </c>
      <c r="G36" s="28">
        <v>7</v>
      </c>
      <c r="H36" s="28">
        <f t="shared" si="22"/>
        <v>70</v>
      </c>
      <c r="I36" s="28">
        <v>14</v>
      </c>
      <c r="J36" s="28">
        <f t="shared" si="23"/>
        <v>70</v>
      </c>
      <c r="K36" s="28">
        <v>13</v>
      </c>
      <c r="L36" s="28">
        <f t="shared" si="24"/>
        <v>65</v>
      </c>
      <c r="M36" s="28">
        <v>8</v>
      </c>
      <c r="N36" s="28">
        <f t="shared" si="25"/>
        <v>80</v>
      </c>
      <c r="O36" s="60">
        <f t="shared" si="26"/>
        <v>0.7</v>
      </c>
      <c r="P36" s="27">
        <f t="shared" si="9"/>
        <v>71.25</v>
      </c>
      <c r="Q36" s="28">
        <v>84.92</v>
      </c>
      <c r="R36" s="29" cm="1">
        <f t="array" ref="R36">_xlfn.IFS(Q36&gt;=80, 4, Q36&gt;=75, 3.5, Q36&gt;=70, 3, Q36&gt;=65, 2.5, Q36&gt;=60, 2, Q36&gt;=55, 1.5, Q36&gt;=50, 1, Q36&lt;50, 0)</f>
        <v>4</v>
      </c>
      <c r="S36" s="22">
        <v>86.16</v>
      </c>
      <c r="T36" s="22">
        <v>94.44</v>
      </c>
      <c r="U36" s="27">
        <f t="shared" si="27"/>
        <v>38.771999999999998</v>
      </c>
      <c r="V36" s="27">
        <f t="shared" si="28"/>
        <v>28.331999999999997</v>
      </c>
      <c r="W36" s="27">
        <f t="shared" si="29"/>
        <v>17.8125</v>
      </c>
      <c r="X36" s="27">
        <f t="shared" si="30"/>
        <v>84.916499999999999</v>
      </c>
      <c r="Y36" s="28" t="str">
        <f t="shared" si="31"/>
        <v>Match</v>
      </c>
      <c r="Z36" s="61" t="str">
        <f t="shared" si="32"/>
        <v>Your end-of-term exam marks are: Speaking 70%, Listening 70%, Reading 65%, and Writing 80%</v>
      </c>
      <c r="AA36" s="59"/>
      <c r="AB36" s="59"/>
      <c r="AC36" s="59"/>
      <c r="AD36" s="59"/>
      <c r="AE36" s="59"/>
      <c r="AF36" s="59"/>
    </row>
    <row r="37" spans="1:32" ht="15.75" customHeight="1">
      <c r="A37" s="59" t="s">
        <v>80</v>
      </c>
      <c r="B37" s="59" t="s">
        <v>98</v>
      </c>
      <c r="C37" s="44">
        <v>0</v>
      </c>
      <c r="D37" s="76" t="s">
        <v>99</v>
      </c>
      <c r="E37" s="17" t="s">
        <v>100</v>
      </c>
      <c r="F37" s="19" t="s">
        <v>3</v>
      </c>
      <c r="G37" s="28">
        <v>7</v>
      </c>
      <c r="H37" s="28">
        <f t="shared" si="22"/>
        <v>70</v>
      </c>
      <c r="I37" s="28">
        <v>16</v>
      </c>
      <c r="J37" s="28">
        <f t="shared" si="23"/>
        <v>80</v>
      </c>
      <c r="K37" s="28">
        <v>17</v>
      </c>
      <c r="L37" s="28">
        <f t="shared" si="24"/>
        <v>85</v>
      </c>
      <c r="M37" s="28">
        <v>8</v>
      </c>
      <c r="N37" s="28">
        <f t="shared" si="25"/>
        <v>80</v>
      </c>
      <c r="O37" s="60">
        <f t="shared" si="26"/>
        <v>0.8</v>
      </c>
      <c r="P37" s="27">
        <f t="shared" si="9"/>
        <v>78.75</v>
      </c>
      <c r="Q37" s="28">
        <v>78.13</v>
      </c>
      <c r="R37" s="29" cm="1">
        <f t="array" ref="R37">_xlfn.IFS(Q37&gt;=80, 4, Q37&gt;=75, 3.5, Q37&gt;=70, 3, Q37&gt;=65, 2.5, Q37&gt;=60, 2, Q37&gt;=55, 1.5, Q37&gt;=50, 1, Q37&lt;50, 0)</f>
        <v>3.5</v>
      </c>
      <c r="S37" s="22">
        <v>71.34</v>
      </c>
      <c r="T37" s="22">
        <v>87.78</v>
      </c>
      <c r="U37" s="27">
        <f t="shared" si="27"/>
        <v>32.103000000000002</v>
      </c>
      <c r="V37" s="27">
        <f t="shared" si="28"/>
        <v>26.334</v>
      </c>
      <c r="W37" s="27">
        <f t="shared" si="29"/>
        <v>19.6875</v>
      </c>
      <c r="X37" s="27">
        <f t="shared" si="30"/>
        <v>78.124499999999998</v>
      </c>
      <c r="Y37" s="28" t="str">
        <f t="shared" si="31"/>
        <v>Match</v>
      </c>
      <c r="Z37" s="61" t="str">
        <f t="shared" si="32"/>
        <v>Your end-of-term exam marks are: Speaking 70%, Listening 80%, Reading 85%, and Writing 80%</v>
      </c>
      <c r="AA37" s="59"/>
      <c r="AB37" s="59"/>
      <c r="AC37" s="59"/>
      <c r="AD37" s="59"/>
      <c r="AE37" s="59"/>
      <c r="AF37" s="59"/>
    </row>
    <row r="38" spans="1:32" ht="15.75" customHeight="1">
      <c r="A38" s="59" t="s">
        <v>80</v>
      </c>
      <c r="B38" s="59" t="s">
        <v>98</v>
      </c>
      <c r="C38" s="44">
        <v>0</v>
      </c>
      <c r="D38" s="76" t="s">
        <v>99</v>
      </c>
      <c r="E38" s="17" t="s">
        <v>100</v>
      </c>
      <c r="F38" s="19" t="s">
        <v>3</v>
      </c>
      <c r="G38" s="28">
        <v>8</v>
      </c>
      <c r="H38" s="28">
        <f t="shared" si="22"/>
        <v>80</v>
      </c>
      <c r="I38" s="28">
        <v>18</v>
      </c>
      <c r="J38" s="28">
        <f t="shared" si="23"/>
        <v>90</v>
      </c>
      <c r="K38" s="28">
        <v>14</v>
      </c>
      <c r="L38" s="28">
        <f t="shared" si="24"/>
        <v>70</v>
      </c>
      <c r="M38" s="28">
        <v>8</v>
      </c>
      <c r="N38" s="28">
        <f t="shared" si="25"/>
        <v>80</v>
      </c>
      <c r="O38" s="60">
        <f t="shared" si="26"/>
        <v>0.8</v>
      </c>
      <c r="P38" s="27">
        <f t="shared" si="9"/>
        <v>80</v>
      </c>
      <c r="Q38" s="28">
        <v>62.23</v>
      </c>
      <c r="R38" s="29" cm="1">
        <f t="array" ref="R38">_xlfn.IFS(Q38&gt;=80, 4, Q38&gt;=75, 3.5, Q38&gt;=70, 3, Q38&gt;=65, 2.5, Q38&gt;=60, 2, Q38&gt;=55, 1.5, Q38&gt;=50, 1, Q38&lt;50, 0)</f>
        <v>2</v>
      </c>
      <c r="S38" s="22">
        <v>49.4</v>
      </c>
      <c r="T38" s="22">
        <v>66.67</v>
      </c>
      <c r="U38" s="27">
        <f t="shared" si="27"/>
        <v>22.23</v>
      </c>
      <c r="V38" s="27">
        <f t="shared" si="28"/>
        <v>20.001000000000001</v>
      </c>
      <c r="W38" s="27">
        <f t="shared" si="29"/>
        <v>20</v>
      </c>
      <c r="X38" s="27">
        <f t="shared" si="30"/>
        <v>62.231000000000002</v>
      </c>
      <c r="Y38" s="28" t="str">
        <f t="shared" si="31"/>
        <v>Match</v>
      </c>
      <c r="Z38" s="61" t="str">
        <f t="shared" si="32"/>
        <v>Your end-of-term exam marks are: Speaking 80%, Listening 90%, Reading 70%, and Writing 80%</v>
      </c>
      <c r="AA38" s="59"/>
      <c r="AB38" s="59"/>
      <c r="AC38" s="59"/>
      <c r="AD38" s="59"/>
      <c r="AE38" s="59"/>
      <c r="AF38" s="59"/>
    </row>
    <row r="39" spans="1:32" ht="15.75" customHeight="1">
      <c r="A39" s="59" t="s">
        <v>80</v>
      </c>
      <c r="B39" s="59" t="s">
        <v>98</v>
      </c>
      <c r="C39" s="44">
        <v>0</v>
      </c>
      <c r="D39" s="76" t="s">
        <v>99</v>
      </c>
      <c r="E39" s="17" t="s">
        <v>100</v>
      </c>
      <c r="F39" s="19" t="s">
        <v>3</v>
      </c>
      <c r="G39" s="66">
        <v>4</v>
      </c>
      <c r="H39" s="28">
        <f t="shared" si="22"/>
        <v>40</v>
      </c>
      <c r="I39" s="28">
        <v>9</v>
      </c>
      <c r="J39" s="28">
        <f t="shared" si="23"/>
        <v>45</v>
      </c>
      <c r="K39" s="28">
        <v>12</v>
      </c>
      <c r="L39" s="28">
        <f t="shared" si="24"/>
        <v>60</v>
      </c>
      <c r="M39" s="28">
        <v>6</v>
      </c>
      <c r="N39" s="28">
        <f t="shared" si="25"/>
        <v>60</v>
      </c>
      <c r="O39" s="60">
        <f t="shared" si="26"/>
        <v>0.51666666666666672</v>
      </c>
      <c r="P39" s="27">
        <f t="shared" si="9"/>
        <v>51.25</v>
      </c>
      <c r="Q39" s="28">
        <v>38.479999999999997</v>
      </c>
      <c r="R39" s="29" cm="1">
        <f t="array" ref="R39">_xlfn.IFS(Q39&gt;=80, 4, Q39&gt;=75, 3.5, Q39&gt;=70, 3, Q39&gt;=65, 2.5, Q39&gt;=60, 2, Q39&gt;=55, 1.5, Q39&gt;=50, 1, Q39&lt;50, 0)</f>
        <v>0</v>
      </c>
      <c r="S39" s="22">
        <v>35.51</v>
      </c>
      <c r="T39" s="22">
        <v>32.31</v>
      </c>
      <c r="U39" s="27">
        <f t="shared" si="27"/>
        <v>15.9795</v>
      </c>
      <c r="V39" s="27">
        <f t="shared" si="28"/>
        <v>9.6929999999999996</v>
      </c>
      <c r="W39" s="27">
        <f t="shared" si="29"/>
        <v>12.8125</v>
      </c>
      <c r="X39" s="27">
        <f t="shared" si="30"/>
        <v>38.484999999999999</v>
      </c>
      <c r="Y39" s="28" t="str">
        <f t="shared" si="31"/>
        <v>Match</v>
      </c>
      <c r="Z39" s="61" t="str">
        <f t="shared" si="32"/>
        <v>Your end-of-term exam marks are: Speaking 40%, Listening 45%, Reading 60%, and Writing 60%</v>
      </c>
      <c r="AA39" s="59"/>
      <c r="AB39" s="59"/>
      <c r="AC39" s="59"/>
      <c r="AD39" s="59"/>
      <c r="AE39" s="59"/>
      <c r="AF39" s="59"/>
    </row>
    <row r="40" spans="1:32" ht="15.75" customHeight="1">
      <c r="A40" s="59" t="s">
        <v>80</v>
      </c>
      <c r="B40" s="59" t="s">
        <v>98</v>
      </c>
      <c r="C40" s="44">
        <v>0</v>
      </c>
      <c r="D40" s="76" t="s">
        <v>99</v>
      </c>
      <c r="E40" s="17" t="s">
        <v>100</v>
      </c>
      <c r="F40" s="19" t="s">
        <v>3</v>
      </c>
      <c r="G40" s="28">
        <v>7</v>
      </c>
      <c r="H40" s="28">
        <f t="shared" si="22"/>
        <v>70</v>
      </c>
      <c r="I40" s="28">
        <v>14</v>
      </c>
      <c r="J40" s="28">
        <f t="shared" si="23"/>
        <v>70</v>
      </c>
      <c r="K40" s="28">
        <v>15</v>
      </c>
      <c r="L40" s="28">
        <f t="shared" si="24"/>
        <v>75</v>
      </c>
      <c r="M40" s="28">
        <v>8</v>
      </c>
      <c r="N40" s="28">
        <f t="shared" si="25"/>
        <v>80</v>
      </c>
      <c r="O40" s="60">
        <f t="shared" si="26"/>
        <v>0.73333333333333328</v>
      </c>
      <c r="P40" s="27">
        <f t="shared" si="9"/>
        <v>73.75</v>
      </c>
      <c r="Q40" s="28">
        <v>82.21</v>
      </c>
      <c r="R40" s="29" cm="1">
        <f t="array" ref="R40">_xlfn.IFS(Q40&gt;=80, 4, Q40&gt;=75, 3.5, Q40&gt;=70, 3, Q40&gt;=65, 2.5, Q40&gt;=60, 2, Q40&gt;=55, 1.5, Q40&gt;=50, 1, Q40&lt;50, 0)</f>
        <v>4</v>
      </c>
      <c r="S40" s="22">
        <v>80.599999999999994</v>
      </c>
      <c r="T40" s="22">
        <v>91.67</v>
      </c>
      <c r="U40" s="27">
        <f t="shared" si="27"/>
        <v>36.269999999999996</v>
      </c>
      <c r="V40" s="27">
        <f t="shared" si="28"/>
        <v>27.501000000000001</v>
      </c>
      <c r="W40" s="27">
        <f t="shared" si="29"/>
        <v>18.4375</v>
      </c>
      <c r="X40" s="27">
        <f t="shared" si="30"/>
        <v>82.208500000000001</v>
      </c>
      <c r="Y40" s="28" t="str">
        <f t="shared" si="31"/>
        <v>Match</v>
      </c>
      <c r="Z40" s="61" t="str">
        <f t="shared" si="32"/>
        <v>Your end-of-term exam marks are: Speaking 70%, Listening 70%, Reading 75%, and Writing 80%</v>
      </c>
      <c r="AA40" s="59"/>
      <c r="AB40" s="59"/>
      <c r="AC40" s="59"/>
      <c r="AD40" s="59"/>
      <c r="AE40" s="59"/>
      <c r="AF40" s="59"/>
    </row>
    <row r="41" spans="1:32" ht="15.75" customHeight="1">
      <c r="A41" s="59" t="s">
        <v>80</v>
      </c>
      <c r="B41" s="59" t="s">
        <v>98</v>
      </c>
      <c r="C41" s="44">
        <v>0</v>
      </c>
      <c r="D41" s="76" t="s">
        <v>99</v>
      </c>
      <c r="E41" s="17" t="s">
        <v>100</v>
      </c>
      <c r="F41" s="19" t="s">
        <v>3</v>
      </c>
      <c r="G41" s="28">
        <v>7</v>
      </c>
      <c r="H41" s="28">
        <f t="shared" si="22"/>
        <v>70</v>
      </c>
      <c r="I41" s="28">
        <v>20</v>
      </c>
      <c r="J41" s="28">
        <f t="shared" si="23"/>
        <v>100</v>
      </c>
      <c r="K41" s="28">
        <v>16</v>
      </c>
      <c r="L41" s="28">
        <f t="shared" si="24"/>
        <v>80</v>
      </c>
      <c r="M41" s="28">
        <v>8</v>
      </c>
      <c r="N41" s="28">
        <f t="shared" si="25"/>
        <v>80</v>
      </c>
      <c r="O41" s="60">
        <f t="shared" si="26"/>
        <v>0.85</v>
      </c>
      <c r="P41" s="27">
        <f t="shared" si="9"/>
        <v>82.5</v>
      </c>
      <c r="Q41" s="28">
        <v>75.42</v>
      </c>
      <c r="R41" s="29" cm="1">
        <f t="array" ref="R41">_xlfn.IFS(Q41&gt;=80, 4, Q41&gt;=75, 3.5, Q41&gt;=70, 3, Q41&gt;=65, 2.5, Q41&gt;=60, 2, Q41&gt;=55, 1.5, Q41&gt;=50, 1, Q41&lt;50, 0)</f>
        <v>3.5</v>
      </c>
      <c r="S41" s="22">
        <v>73.61</v>
      </c>
      <c r="T41" s="22">
        <v>72.22</v>
      </c>
      <c r="U41" s="27">
        <f t="shared" si="27"/>
        <v>33.124499999999998</v>
      </c>
      <c r="V41" s="27">
        <f t="shared" si="28"/>
        <v>21.666</v>
      </c>
      <c r="W41" s="27">
        <f t="shared" si="29"/>
        <v>20.625</v>
      </c>
      <c r="X41" s="27">
        <f t="shared" si="30"/>
        <v>75.415499999999994</v>
      </c>
      <c r="Y41" s="28" t="str">
        <f t="shared" si="31"/>
        <v>Match</v>
      </c>
      <c r="Z41" s="61" t="str">
        <f t="shared" si="32"/>
        <v>Your end-of-term exam marks are: Speaking 70%, Listening 100%, Reading 80%, and Writing 80%</v>
      </c>
      <c r="AA41" s="59"/>
      <c r="AB41" s="59"/>
      <c r="AC41" s="59"/>
      <c r="AD41" s="59"/>
      <c r="AE41" s="59"/>
      <c r="AF41" s="59"/>
    </row>
    <row r="42" spans="1:32" ht="15.75" customHeight="1">
      <c r="A42" s="81" t="s">
        <v>82</v>
      </c>
      <c r="B42" s="81"/>
      <c r="C42" s="81"/>
      <c r="D42" s="81"/>
      <c r="E42" s="81"/>
      <c r="F42" s="81"/>
      <c r="G42" s="67"/>
      <c r="H42" s="64">
        <f>AVERAGE(H30:H41)</f>
        <v>66.666666666666671</v>
      </c>
      <c r="I42" s="67"/>
      <c r="J42" s="64">
        <f>AVERAGE(J30:J41)</f>
        <v>66.666666666666671</v>
      </c>
      <c r="K42" s="67"/>
      <c r="L42" s="64">
        <f>AVERAGE(L30:L41)</f>
        <v>68.333333333333329</v>
      </c>
      <c r="M42" s="67"/>
      <c r="N42" s="64">
        <f>AVERAGE(N30:N41)</f>
        <v>71.666666666666671</v>
      </c>
      <c r="O42" s="77">
        <f>AVERAGE(O30:O41)</f>
        <v>0.68055555555555547</v>
      </c>
      <c r="P42" s="80">
        <f>AVERAGE(P30:P41)</f>
        <v>68.333333333333329</v>
      </c>
      <c r="Q42" s="80">
        <f>AVERAGE(Q30:Q41)</f>
        <v>75.040833333333339</v>
      </c>
      <c r="R42" s="42"/>
      <c r="S42" s="79">
        <f>AVERAGE(S30:S41)</f>
        <v>75.265833333333333</v>
      </c>
      <c r="T42" s="79">
        <f>AVERAGE(T30:T41)</f>
        <v>80.288333333333327</v>
      </c>
      <c r="U42" s="40"/>
      <c r="V42" s="40"/>
      <c r="W42" s="40"/>
      <c r="X42" s="40"/>
      <c r="Y42" s="40"/>
      <c r="Z42" s="40"/>
      <c r="AA42" s="59"/>
      <c r="AB42" s="59"/>
      <c r="AC42" s="59"/>
      <c r="AD42" s="59"/>
      <c r="AE42" s="59"/>
      <c r="AF42" s="59"/>
    </row>
    <row r="43" spans="1:32" ht="15.75" customHeight="1">
      <c r="A43" s="59"/>
      <c r="B43" s="59"/>
      <c r="C43" s="59"/>
      <c r="D43" s="59"/>
      <c r="E43" s="59"/>
      <c r="F43" s="59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59"/>
      <c r="R43" s="59"/>
      <c r="S43" s="28"/>
      <c r="T43" s="28"/>
      <c r="U43" s="28"/>
      <c r="V43" s="28"/>
      <c r="W43" s="28"/>
      <c r="X43" s="68"/>
      <c r="Y43" s="28"/>
      <c r="Z43" s="59"/>
      <c r="AA43" s="59"/>
      <c r="AB43" s="59"/>
      <c r="AC43" s="59"/>
      <c r="AD43" s="59"/>
      <c r="AE43" s="59"/>
      <c r="AF43" s="59"/>
    </row>
    <row r="44" spans="1:32" ht="15.75" customHeight="1">
      <c r="A44" s="59"/>
      <c r="B44" s="59"/>
      <c r="C44" s="59"/>
      <c r="D44" s="59"/>
      <c r="E44" s="59"/>
      <c r="F44" s="59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59"/>
      <c r="R44" s="59"/>
      <c r="S44" s="28"/>
      <c r="T44" s="28"/>
      <c r="U44" s="28"/>
      <c r="V44" s="28"/>
      <c r="W44" s="28"/>
      <c r="X44" s="68"/>
      <c r="Y44" s="28"/>
      <c r="Z44" s="59"/>
      <c r="AA44" s="59"/>
      <c r="AB44" s="59"/>
      <c r="AC44" s="59"/>
      <c r="AD44" s="59"/>
      <c r="AE44" s="59"/>
      <c r="AF44" s="59"/>
    </row>
    <row r="45" spans="1:32" ht="15.75" customHeight="1">
      <c r="A45" s="59"/>
      <c r="B45" s="59"/>
      <c r="C45" s="59"/>
      <c r="D45" s="59"/>
      <c r="E45" s="59"/>
      <c r="F45" s="59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59"/>
      <c r="R45" s="59"/>
      <c r="S45" s="28"/>
      <c r="T45" s="28"/>
      <c r="U45" s="28"/>
      <c r="V45" s="28"/>
      <c r="W45" s="28"/>
      <c r="X45" s="28"/>
      <c r="Y45" s="69"/>
      <c r="Z45" s="59"/>
      <c r="AA45" s="59"/>
      <c r="AB45" s="59"/>
      <c r="AC45" s="59"/>
      <c r="AD45" s="59"/>
      <c r="AE45" s="59"/>
      <c r="AF45" s="59"/>
    </row>
    <row r="46" spans="1:32" ht="15.75" customHeight="1">
      <c r="A46" s="59"/>
      <c r="B46" s="59"/>
      <c r="C46" s="59"/>
      <c r="D46" s="59"/>
      <c r="E46" s="59"/>
      <c r="F46" s="59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59"/>
      <c r="R46" s="59"/>
      <c r="S46" s="28"/>
      <c r="T46" s="28"/>
      <c r="U46" s="28"/>
      <c r="V46" s="28"/>
      <c r="W46" s="28"/>
      <c r="X46" s="28"/>
      <c r="Y46" s="28"/>
      <c r="Z46" s="59"/>
      <c r="AA46" s="59"/>
      <c r="AB46" s="59"/>
      <c r="AC46" s="59"/>
      <c r="AD46" s="59"/>
      <c r="AE46" s="59"/>
      <c r="AF46" s="59"/>
    </row>
    <row r="47" spans="1:32" ht="15.75" customHeight="1">
      <c r="A47" s="59"/>
      <c r="B47" s="59"/>
      <c r="C47" s="59"/>
      <c r="D47" s="59"/>
      <c r="E47" s="59"/>
      <c r="F47" s="59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59"/>
      <c r="R47" s="59"/>
      <c r="S47" s="28"/>
      <c r="T47" s="28"/>
      <c r="U47" s="28"/>
      <c r="V47" s="28"/>
      <c r="W47" s="28"/>
      <c r="X47" s="28"/>
      <c r="Y47" s="28"/>
      <c r="Z47" s="59"/>
      <c r="AA47" s="59"/>
      <c r="AB47" s="59"/>
      <c r="AC47" s="59"/>
      <c r="AD47" s="59"/>
      <c r="AE47" s="59"/>
      <c r="AF47" s="59"/>
    </row>
    <row r="48" spans="1:32" ht="13.2">
      <c r="G48" s="70"/>
      <c r="H48" s="70"/>
      <c r="I48" s="70"/>
      <c r="J48" s="70"/>
      <c r="K48" s="70"/>
      <c r="L48" s="70"/>
      <c r="M48" s="70"/>
      <c r="N48" s="70"/>
      <c r="O48" s="70"/>
      <c r="P48" s="70"/>
      <c r="S48" s="70"/>
      <c r="T48" s="70"/>
      <c r="U48" s="70"/>
      <c r="V48" s="70"/>
      <c r="W48" s="70"/>
      <c r="X48" s="70"/>
      <c r="Y48" s="70"/>
    </row>
    <row r="49" spans="7:25" ht="13.2">
      <c r="G49" s="70"/>
      <c r="H49" s="70"/>
      <c r="I49" s="70"/>
      <c r="J49" s="70"/>
      <c r="K49" s="70"/>
      <c r="L49" s="70"/>
      <c r="M49" s="70"/>
      <c r="N49" s="70"/>
      <c r="O49" s="70"/>
      <c r="P49" s="70"/>
      <c r="S49" s="70"/>
      <c r="T49" s="70"/>
      <c r="U49" s="70"/>
      <c r="V49" s="70"/>
      <c r="W49" s="70"/>
      <c r="X49" s="70"/>
      <c r="Y49" s="70"/>
    </row>
    <row r="50" spans="7:25" ht="13.2">
      <c r="G50" s="70"/>
      <c r="H50" s="70"/>
      <c r="I50" s="70"/>
      <c r="J50" s="70"/>
      <c r="K50" s="70"/>
      <c r="L50" s="70"/>
      <c r="M50" s="70"/>
      <c r="N50" s="70"/>
      <c r="O50" s="70"/>
      <c r="P50" s="70"/>
      <c r="S50" s="70"/>
      <c r="T50" s="71"/>
      <c r="U50" s="70"/>
      <c r="V50" s="70"/>
      <c r="W50" s="70"/>
      <c r="X50" s="70"/>
      <c r="Y50" s="70"/>
    </row>
    <row r="51" spans="7:25" ht="13.2">
      <c r="G51" s="70"/>
      <c r="H51" s="70"/>
      <c r="I51" s="70"/>
      <c r="J51" s="70"/>
      <c r="K51" s="70"/>
      <c r="L51" s="70"/>
      <c r="M51" s="70"/>
      <c r="N51" s="70"/>
      <c r="O51" s="70"/>
      <c r="P51" s="70"/>
      <c r="S51" s="70"/>
      <c r="V51" s="70"/>
      <c r="W51" s="70"/>
      <c r="X51" s="70"/>
      <c r="Y51" s="70"/>
    </row>
    <row r="52" spans="7:25" ht="13.2">
      <c r="G52" s="70"/>
      <c r="H52" s="70"/>
      <c r="I52" s="70"/>
      <c r="J52" s="70"/>
      <c r="K52" s="70"/>
      <c r="L52" s="70"/>
      <c r="M52" s="70"/>
      <c r="N52" s="70"/>
      <c r="O52" s="70"/>
      <c r="P52" s="70"/>
      <c r="U52" s="70"/>
      <c r="V52" s="70"/>
      <c r="W52" s="70"/>
      <c r="X52" s="70"/>
      <c r="Y52" s="70"/>
    </row>
    <row r="53" spans="7:25" ht="13.2">
      <c r="G53" s="70"/>
      <c r="H53" s="70"/>
      <c r="I53" s="70"/>
      <c r="J53" s="70"/>
      <c r="K53" s="70"/>
      <c r="L53" s="70"/>
      <c r="M53" s="70"/>
      <c r="N53" s="70"/>
      <c r="O53" s="70"/>
      <c r="P53" s="70"/>
      <c r="S53" s="70"/>
      <c r="U53" s="70"/>
      <c r="V53" s="70"/>
      <c r="W53" s="70"/>
      <c r="X53" s="70"/>
      <c r="Y53" s="70"/>
    </row>
    <row r="54" spans="7:25" ht="13.2">
      <c r="G54" s="70"/>
      <c r="H54" s="70"/>
      <c r="I54" s="70"/>
      <c r="J54" s="70"/>
      <c r="K54" s="70"/>
      <c r="L54" s="70"/>
      <c r="M54" s="70"/>
      <c r="N54" s="70"/>
      <c r="O54" s="70"/>
      <c r="P54" s="70"/>
      <c r="T54" s="70"/>
      <c r="U54" s="70"/>
      <c r="V54" s="70"/>
      <c r="W54" s="70"/>
      <c r="X54" s="70"/>
      <c r="Y54" s="70"/>
    </row>
    <row r="55" spans="7:25" ht="13.2">
      <c r="G55" s="70"/>
      <c r="H55" s="70"/>
      <c r="I55" s="70"/>
      <c r="J55" s="70"/>
      <c r="K55" s="70"/>
      <c r="L55" s="70"/>
      <c r="M55" s="70"/>
      <c r="N55" s="70"/>
      <c r="O55" s="70"/>
      <c r="P55" s="70"/>
      <c r="S55" s="70"/>
      <c r="T55" s="70"/>
      <c r="U55" s="70"/>
      <c r="V55" s="70"/>
      <c r="W55" s="70"/>
      <c r="X55" s="70"/>
      <c r="Y55" s="70"/>
    </row>
    <row r="56" spans="7:25" ht="13.2">
      <c r="G56" s="70"/>
      <c r="H56" s="70"/>
      <c r="I56" s="70"/>
      <c r="J56" s="70"/>
      <c r="K56" s="70"/>
      <c r="L56" s="70"/>
      <c r="M56" s="70"/>
      <c r="N56" s="70"/>
      <c r="O56" s="70"/>
      <c r="P56" s="70"/>
      <c r="S56" s="70"/>
      <c r="T56" s="70"/>
      <c r="U56" s="70"/>
      <c r="V56" s="70"/>
      <c r="W56" s="70"/>
      <c r="X56" s="70"/>
      <c r="Y56" s="70"/>
    </row>
    <row r="57" spans="7:25" ht="13.2">
      <c r="G57" s="70"/>
      <c r="H57" s="70"/>
      <c r="I57" s="70"/>
      <c r="J57" s="70"/>
      <c r="K57" s="70"/>
      <c r="L57" s="70"/>
      <c r="M57" s="70"/>
      <c r="N57" s="70"/>
      <c r="O57" s="70"/>
      <c r="P57" s="70"/>
      <c r="S57" s="70"/>
      <c r="T57" s="70"/>
      <c r="U57" s="70"/>
      <c r="V57" s="70"/>
      <c r="W57" s="70"/>
      <c r="X57" s="70"/>
      <c r="Y57" s="70"/>
    </row>
    <row r="58" spans="7:25" ht="13.2">
      <c r="G58" s="70"/>
      <c r="H58" s="70"/>
      <c r="I58" s="70"/>
      <c r="J58" s="70"/>
      <c r="K58" s="70"/>
      <c r="L58" s="70"/>
      <c r="M58" s="70"/>
      <c r="N58" s="70"/>
      <c r="O58" s="70"/>
      <c r="P58" s="70"/>
      <c r="S58" s="70"/>
      <c r="T58" s="70"/>
      <c r="U58" s="70"/>
      <c r="V58" s="70"/>
      <c r="W58" s="70"/>
      <c r="X58" s="70"/>
      <c r="Y58" s="70"/>
    </row>
    <row r="59" spans="7:25" ht="13.2">
      <c r="G59" s="70"/>
      <c r="H59" s="70"/>
      <c r="I59" s="70"/>
      <c r="J59" s="70"/>
      <c r="K59" s="70"/>
      <c r="L59" s="70"/>
      <c r="M59" s="70"/>
      <c r="N59" s="70"/>
      <c r="O59" s="70"/>
      <c r="P59" s="70"/>
      <c r="S59" s="70"/>
      <c r="T59" s="70"/>
      <c r="U59" s="70"/>
      <c r="V59" s="70"/>
      <c r="W59" s="70"/>
      <c r="X59" s="70"/>
      <c r="Y59" s="70"/>
    </row>
    <row r="60" spans="7:25" ht="13.2">
      <c r="G60" s="70"/>
      <c r="H60" s="70"/>
      <c r="I60" s="70"/>
      <c r="J60" s="70"/>
      <c r="K60" s="70"/>
      <c r="L60" s="70"/>
      <c r="M60" s="70"/>
      <c r="N60" s="70"/>
      <c r="O60" s="70"/>
      <c r="P60" s="70"/>
      <c r="S60" s="70"/>
      <c r="T60" s="70"/>
      <c r="U60" s="70"/>
      <c r="V60" s="70"/>
      <c r="W60" s="70"/>
      <c r="X60" s="70"/>
      <c r="Y60" s="70"/>
    </row>
    <row r="61" spans="7:25" ht="13.2">
      <c r="G61" s="70"/>
      <c r="H61" s="70"/>
      <c r="I61" s="70"/>
      <c r="J61" s="70"/>
      <c r="K61" s="70"/>
      <c r="L61" s="70"/>
      <c r="M61" s="70"/>
      <c r="N61" s="70"/>
      <c r="O61" s="70"/>
      <c r="P61" s="70"/>
      <c r="S61" s="70"/>
      <c r="T61" s="70"/>
      <c r="U61" s="70"/>
      <c r="V61" s="70"/>
      <c r="W61" s="70"/>
      <c r="X61" s="70"/>
      <c r="Y61" s="70"/>
    </row>
    <row r="62" spans="7:25" ht="13.2">
      <c r="G62" s="70"/>
      <c r="H62" s="70"/>
      <c r="I62" s="70"/>
      <c r="J62" s="70"/>
      <c r="K62" s="70"/>
      <c r="L62" s="70"/>
      <c r="M62" s="70"/>
      <c r="N62" s="70"/>
      <c r="O62" s="70"/>
      <c r="P62" s="70"/>
      <c r="S62" s="70"/>
      <c r="T62" s="70"/>
      <c r="U62" s="70"/>
      <c r="V62" s="70"/>
      <c r="W62" s="70"/>
      <c r="X62" s="70"/>
      <c r="Y62" s="70"/>
    </row>
    <row r="63" spans="7:25" ht="13.2">
      <c r="G63" s="70"/>
      <c r="H63" s="70"/>
      <c r="I63" s="70"/>
      <c r="J63" s="70"/>
      <c r="K63" s="70"/>
      <c r="L63" s="70"/>
      <c r="M63" s="70"/>
      <c r="N63" s="70"/>
      <c r="O63" s="70"/>
      <c r="P63" s="70"/>
      <c r="S63" s="70"/>
      <c r="T63" s="70"/>
      <c r="U63" s="70"/>
      <c r="V63" s="70"/>
      <c r="W63" s="70"/>
      <c r="X63" s="70"/>
      <c r="Y63" s="70"/>
    </row>
    <row r="64" spans="7:25" ht="13.2">
      <c r="G64" s="70"/>
      <c r="H64" s="70"/>
      <c r="I64" s="70"/>
      <c r="J64" s="70"/>
      <c r="K64" s="70"/>
      <c r="L64" s="70"/>
      <c r="M64" s="70"/>
      <c r="N64" s="70"/>
      <c r="O64" s="70"/>
      <c r="P64" s="70"/>
      <c r="S64" s="70"/>
      <c r="T64" s="70"/>
      <c r="U64" s="70"/>
      <c r="V64" s="70"/>
      <c r="W64" s="70"/>
      <c r="X64" s="70"/>
      <c r="Y64" s="70"/>
    </row>
    <row r="65" spans="7:25" ht="13.2">
      <c r="G65" s="70"/>
      <c r="H65" s="70"/>
      <c r="I65" s="70"/>
      <c r="J65" s="70"/>
      <c r="K65" s="70"/>
      <c r="L65" s="70"/>
      <c r="M65" s="70"/>
      <c r="N65" s="70"/>
      <c r="O65" s="70"/>
      <c r="P65" s="70"/>
      <c r="S65" s="70"/>
      <c r="T65" s="70"/>
      <c r="U65" s="70"/>
      <c r="V65" s="70"/>
      <c r="W65" s="70"/>
      <c r="X65" s="70"/>
      <c r="Y65" s="70"/>
    </row>
    <row r="66" spans="7:25" ht="13.2">
      <c r="G66" s="70"/>
      <c r="H66" s="70"/>
      <c r="I66" s="70"/>
      <c r="J66" s="70"/>
      <c r="K66" s="70"/>
      <c r="L66" s="70"/>
      <c r="M66" s="70"/>
      <c r="N66" s="70"/>
      <c r="O66" s="70"/>
      <c r="P66" s="70"/>
      <c r="S66" s="70"/>
      <c r="T66" s="70"/>
      <c r="U66" s="70"/>
      <c r="V66" s="70"/>
      <c r="W66" s="70"/>
      <c r="X66" s="70"/>
      <c r="Y66" s="70"/>
    </row>
    <row r="67" spans="7:25" ht="13.2">
      <c r="G67" s="70"/>
      <c r="H67" s="70"/>
      <c r="I67" s="70"/>
      <c r="J67" s="70"/>
      <c r="K67" s="70"/>
      <c r="L67" s="70"/>
      <c r="M67" s="70"/>
      <c r="N67" s="70"/>
      <c r="O67" s="70"/>
      <c r="P67" s="70"/>
      <c r="S67" s="70"/>
      <c r="T67" s="70"/>
      <c r="U67" s="70"/>
      <c r="V67" s="70"/>
      <c r="W67" s="70"/>
      <c r="X67" s="70"/>
      <c r="Y67" s="70"/>
    </row>
    <row r="68" spans="7:25" ht="13.2">
      <c r="G68" s="70"/>
      <c r="H68" s="70"/>
      <c r="I68" s="70"/>
      <c r="J68" s="70"/>
      <c r="K68" s="70"/>
      <c r="L68" s="70"/>
      <c r="M68" s="70"/>
      <c r="N68" s="70"/>
      <c r="O68" s="70"/>
      <c r="P68" s="70"/>
      <c r="S68" s="70"/>
      <c r="T68" s="70"/>
      <c r="U68" s="70"/>
      <c r="V68" s="70"/>
      <c r="W68" s="70"/>
      <c r="X68" s="70"/>
      <c r="Y68" s="70"/>
    </row>
    <row r="69" spans="7:25" ht="13.2">
      <c r="G69" s="70"/>
      <c r="H69" s="70"/>
      <c r="I69" s="70"/>
      <c r="J69" s="70"/>
      <c r="K69" s="70"/>
      <c r="L69" s="70"/>
      <c r="M69" s="70"/>
      <c r="N69" s="70"/>
      <c r="O69" s="70"/>
      <c r="P69" s="70"/>
      <c r="S69" s="70"/>
      <c r="T69" s="70"/>
      <c r="U69" s="70"/>
      <c r="V69" s="70"/>
      <c r="W69" s="70"/>
      <c r="X69" s="70"/>
      <c r="Y69" s="70"/>
    </row>
    <row r="70" spans="7:25" ht="13.2">
      <c r="G70" s="70"/>
      <c r="H70" s="70"/>
      <c r="I70" s="70"/>
      <c r="J70" s="70"/>
      <c r="K70" s="70"/>
      <c r="L70" s="70"/>
      <c r="M70" s="70"/>
      <c r="N70" s="70"/>
      <c r="O70" s="70"/>
      <c r="P70" s="70"/>
      <c r="S70" s="70"/>
      <c r="T70" s="70"/>
      <c r="U70" s="70"/>
      <c r="V70" s="70"/>
      <c r="W70" s="70"/>
      <c r="X70" s="70"/>
      <c r="Y70" s="70"/>
    </row>
    <row r="71" spans="7:25" ht="13.2">
      <c r="G71" s="70"/>
      <c r="H71" s="70"/>
      <c r="I71" s="70"/>
      <c r="J71" s="70"/>
      <c r="K71" s="70"/>
      <c r="L71" s="70"/>
      <c r="M71" s="70"/>
      <c r="N71" s="70"/>
      <c r="O71" s="70"/>
      <c r="P71" s="70"/>
      <c r="S71" s="70"/>
      <c r="T71" s="70"/>
      <c r="U71" s="70"/>
      <c r="V71" s="70"/>
      <c r="W71" s="70"/>
      <c r="X71" s="70"/>
      <c r="Y71" s="70"/>
    </row>
    <row r="72" spans="7:25" ht="13.2">
      <c r="G72" s="70"/>
      <c r="H72" s="70"/>
      <c r="I72" s="70"/>
      <c r="J72" s="70"/>
      <c r="K72" s="70"/>
      <c r="L72" s="70"/>
      <c r="M72" s="70"/>
      <c r="N72" s="70"/>
      <c r="O72" s="70"/>
      <c r="P72" s="70"/>
      <c r="S72" s="70"/>
      <c r="T72" s="70"/>
      <c r="U72" s="70"/>
      <c r="V72" s="70"/>
      <c r="W72" s="70"/>
      <c r="X72" s="70"/>
      <c r="Y72" s="70"/>
    </row>
    <row r="73" spans="7:25" ht="13.2">
      <c r="G73" s="70"/>
      <c r="H73" s="70"/>
      <c r="I73" s="70"/>
      <c r="J73" s="70"/>
      <c r="K73" s="70"/>
      <c r="L73" s="70"/>
      <c r="M73" s="70"/>
      <c r="N73" s="70"/>
      <c r="O73" s="70"/>
      <c r="P73" s="70"/>
      <c r="S73" s="70"/>
      <c r="T73" s="70"/>
      <c r="U73" s="70"/>
      <c r="V73" s="70"/>
      <c r="W73" s="70"/>
      <c r="X73" s="70"/>
      <c r="Y73" s="70"/>
    </row>
    <row r="74" spans="7:25" ht="13.2">
      <c r="G74" s="70"/>
      <c r="H74" s="70"/>
      <c r="I74" s="70"/>
      <c r="J74" s="70"/>
      <c r="K74" s="70"/>
      <c r="L74" s="70"/>
      <c r="M74" s="70"/>
      <c r="N74" s="70"/>
      <c r="O74" s="70"/>
      <c r="P74" s="70"/>
      <c r="S74" s="70"/>
      <c r="T74" s="70"/>
      <c r="U74" s="70"/>
      <c r="V74" s="70"/>
      <c r="W74" s="70"/>
      <c r="X74" s="70"/>
      <c r="Y74" s="70"/>
    </row>
    <row r="75" spans="7:25" ht="13.2">
      <c r="G75" s="70"/>
      <c r="H75" s="70"/>
      <c r="I75" s="70"/>
      <c r="J75" s="70"/>
      <c r="K75" s="70"/>
      <c r="L75" s="70"/>
      <c r="M75" s="70"/>
      <c r="N75" s="70"/>
      <c r="O75" s="70"/>
      <c r="P75" s="70"/>
      <c r="S75" s="70"/>
      <c r="T75" s="70"/>
      <c r="U75" s="70"/>
      <c r="V75" s="70"/>
      <c r="W75" s="70"/>
      <c r="X75" s="70"/>
      <c r="Y75" s="70"/>
    </row>
    <row r="76" spans="7:25" ht="13.2">
      <c r="G76" s="70"/>
      <c r="H76" s="70"/>
      <c r="I76" s="70"/>
      <c r="J76" s="70"/>
      <c r="K76" s="70"/>
      <c r="L76" s="70"/>
      <c r="M76" s="70"/>
      <c r="N76" s="70"/>
      <c r="O76" s="70"/>
      <c r="P76" s="70"/>
      <c r="S76" s="70"/>
      <c r="T76" s="70"/>
      <c r="U76" s="70"/>
      <c r="V76" s="70"/>
      <c r="W76" s="70"/>
      <c r="X76" s="70"/>
      <c r="Y76" s="70"/>
    </row>
    <row r="77" spans="7:25" ht="13.2">
      <c r="G77" s="70"/>
      <c r="H77" s="70"/>
      <c r="I77" s="70"/>
      <c r="J77" s="70"/>
      <c r="K77" s="70"/>
      <c r="L77" s="70"/>
      <c r="M77" s="70"/>
      <c r="N77" s="70"/>
      <c r="O77" s="70"/>
      <c r="P77" s="70"/>
      <c r="S77" s="70"/>
      <c r="T77" s="70"/>
      <c r="U77" s="70"/>
      <c r="V77" s="70"/>
      <c r="W77" s="70"/>
      <c r="X77" s="70"/>
      <c r="Y77" s="70"/>
    </row>
    <row r="78" spans="7:25" ht="13.2">
      <c r="G78" s="70"/>
      <c r="H78" s="70"/>
      <c r="I78" s="70"/>
      <c r="J78" s="70"/>
      <c r="K78" s="70"/>
      <c r="L78" s="70"/>
      <c r="M78" s="70"/>
      <c r="N78" s="70"/>
      <c r="O78" s="70"/>
      <c r="P78" s="70"/>
      <c r="S78" s="70"/>
      <c r="T78" s="70"/>
      <c r="U78" s="70"/>
      <c r="V78" s="70"/>
      <c r="W78" s="70"/>
      <c r="X78" s="70"/>
      <c r="Y78" s="70"/>
    </row>
    <row r="79" spans="7:25" ht="13.2">
      <c r="G79" s="70"/>
      <c r="H79" s="70"/>
      <c r="I79" s="70"/>
      <c r="J79" s="70"/>
      <c r="K79" s="70"/>
      <c r="L79" s="70"/>
      <c r="M79" s="70"/>
      <c r="N79" s="70"/>
      <c r="O79" s="70"/>
      <c r="P79" s="70"/>
      <c r="S79" s="70"/>
      <c r="T79" s="70"/>
      <c r="U79" s="70"/>
      <c r="V79" s="70"/>
      <c r="W79" s="70"/>
      <c r="X79" s="70"/>
      <c r="Y79" s="70"/>
    </row>
    <row r="80" spans="7:25" ht="13.2">
      <c r="G80" s="70"/>
      <c r="H80" s="70"/>
      <c r="I80" s="70"/>
      <c r="J80" s="70"/>
      <c r="K80" s="70"/>
      <c r="L80" s="70"/>
      <c r="M80" s="70"/>
      <c r="N80" s="70"/>
      <c r="O80" s="70"/>
      <c r="P80" s="70"/>
      <c r="S80" s="70"/>
      <c r="T80" s="70"/>
      <c r="U80" s="70"/>
      <c r="V80" s="70"/>
      <c r="W80" s="70"/>
      <c r="X80" s="70"/>
      <c r="Y80" s="70"/>
    </row>
    <row r="81" spans="7:25" ht="13.2">
      <c r="G81" s="70"/>
      <c r="H81" s="70"/>
      <c r="I81" s="70"/>
      <c r="J81" s="70"/>
      <c r="K81" s="70"/>
      <c r="L81" s="70"/>
      <c r="M81" s="70"/>
      <c r="N81" s="70"/>
      <c r="O81" s="70"/>
      <c r="P81" s="70"/>
      <c r="S81" s="70"/>
      <c r="T81" s="70"/>
      <c r="U81" s="70"/>
      <c r="V81" s="70"/>
      <c r="W81" s="70"/>
      <c r="X81" s="70"/>
      <c r="Y81" s="70"/>
    </row>
    <row r="82" spans="7:25" ht="13.2">
      <c r="G82" s="70"/>
      <c r="H82" s="70"/>
      <c r="I82" s="70"/>
      <c r="J82" s="70"/>
      <c r="K82" s="70"/>
      <c r="L82" s="70"/>
      <c r="M82" s="70"/>
      <c r="N82" s="70"/>
      <c r="O82" s="70"/>
      <c r="P82" s="70"/>
      <c r="S82" s="70"/>
      <c r="T82" s="70"/>
      <c r="U82" s="70"/>
      <c r="V82" s="70"/>
      <c r="W82" s="70"/>
      <c r="X82" s="70"/>
      <c r="Y82" s="70"/>
    </row>
    <row r="83" spans="7:25" ht="13.2">
      <c r="G83" s="70"/>
      <c r="H83" s="70"/>
      <c r="I83" s="70"/>
      <c r="J83" s="70"/>
      <c r="K83" s="70"/>
      <c r="L83" s="70"/>
      <c r="M83" s="70"/>
      <c r="N83" s="70"/>
      <c r="O83" s="70"/>
      <c r="P83" s="70"/>
      <c r="S83" s="70"/>
      <c r="T83" s="70"/>
      <c r="U83" s="70"/>
      <c r="V83" s="70"/>
      <c r="W83" s="70"/>
      <c r="X83" s="70"/>
      <c r="Y83" s="70"/>
    </row>
    <row r="84" spans="7:25" ht="13.2">
      <c r="G84" s="70"/>
      <c r="H84" s="70"/>
      <c r="I84" s="70"/>
      <c r="J84" s="70"/>
      <c r="K84" s="70"/>
      <c r="L84" s="70"/>
      <c r="M84" s="70"/>
      <c r="N84" s="70"/>
      <c r="O84" s="70"/>
      <c r="P84" s="70"/>
      <c r="S84" s="70"/>
      <c r="T84" s="70"/>
      <c r="U84" s="70"/>
      <c r="V84" s="70"/>
      <c r="W84" s="70"/>
      <c r="X84" s="70"/>
      <c r="Y84" s="70"/>
    </row>
    <row r="85" spans="7:25" ht="13.2">
      <c r="G85" s="70"/>
      <c r="H85" s="70"/>
      <c r="I85" s="70"/>
      <c r="J85" s="70"/>
      <c r="K85" s="70"/>
      <c r="L85" s="70"/>
      <c r="M85" s="70"/>
      <c r="N85" s="70"/>
      <c r="O85" s="70"/>
      <c r="P85" s="70"/>
      <c r="S85" s="70"/>
      <c r="T85" s="70"/>
      <c r="U85" s="70"/>
      <c r="V85" s="70"/>
      <c r="W85" s="70"/>
      <c r="X85" s="70"/>
      <c r="Y85" s="70"/>
    </row>
    <row r="86" spans="7:25" ht="13.2">
      <c r="G86" s="70"/>
      <c r="H86" s="70"/>
      <c r="I86" s="70"/>
      <c r="J86" s="70"/>
      <c r="K86" s="70"/>
      <c r="L86" s="70"/>
      <c r="M86" s="70"/>
      <c r="N86" s="70"/>
      <c r="O86" s="70"/>
      <c r="P86" s="70"/>
      <c r="S86" s="70"/>
      <c r="T86" s="70"/>
      <c r="U86" s="70"/>
      <c r="V86" s="70"/>
      <c r="W86" s="70"/>
      <c r="X86" s="70"/>
      <c r="Y86" s="70"/>
    </row>
    <row r="87" spans="7:25" ht="13.2">
      <c r="G87" s="70"/>
      <c r="H87" s="70"/>
      <c r="I87" s="70"/>
      <c r="J87" s="70"/>
      <c r="K87" s="70"/>
      <c r="L87" s="70"/>
      <c r="M87" s="70"/>
      <c r="N87" s="70"/>
      <c r="O87" s="70"/>
      <c r="P87" s="70"/>
      <c r="S87" s="70"/>
      <c r="T87" s="70"/>
      <c r="U87" s="70"/>
      <c r="V87" s="70"/>
      <c r="W87" s="70"/>
      <c r="X87" s="70"/>
      <c r="Y87" s="70"/>
    </row>
    <row r="88" spans="7:25" ht="13.2">
      <c r="G88" s="70"/>
      <c r="H88" s="70"/>
      <c r="I88" s="70"/>
      <c r="J88" s="70"/>
      <c r="K88" s="70"/>
      <c r="L88" s="70"/>
      <c r="M88" s="70"/>
      <c r="N88" s="70"/>
      <c r="O88" s="70"/>
      <c r="P88" s="70"/>
      <c r="S88" s="70"/>
      <c r="T88" s="70"/>
      <c r="U88" s="70"/>
      <c r="V88" s="70"/>
      <c r="W88" s="70"/>
      <c r="X88" s="70"/>
      <c r="Y88" s="70"/>
    </row>
    <row r="89" spans="7:25" ht="13.2">
      <c r="G89" s="70"/>
      <c r="H89" s="70"/>
      <c r="I89" s="70"/>
      <c r="J89" s="70"/>
      <c r="K89" s="70"/>
      <c r="L89" s="70"/>
      <c r="M89" s="70"/>
      <c r="N89" s="70"/>
      <c r="O89" s="70"/>
      <c r="P89" s="70"/>
      <c r="S89" s="70"/>
      <c r="T89" s="70"/>
      <c r="U89" s="70"/>
      <c r="V89" s="70"/>
      <c r="W89" s="70"/>
      <c r="X89" s="70"/>
      <c r="Y89" s="70"/>
    </row>
    <row r="90" spans="7:25" ht="13.2">
      <c r="G90" s="70"/>
      <c r="H90" s="70"/>
      <c r="I90" s="70"/>
      <c r="J90" s="70"/>
      <c r="K90" s="70"/>
      <c r="L90" s="70"/>
      <c r="M90" s="70"/>
      <c r="N90" s="70"/>
      <c r="O90" s="70"/>
      <c r="P90" s="70"/>
      <c r="S90" s="70"/>
      <c r="T90" s="70"/>
      <c r="U90" s="70"/>
      <c r="V90" s="70"/>
      <c r="W90" s="70"/>
      <c r="X90" s="70"/>
      <c r="Y90" s="70"/>
    </row>
    <row r="91" spans="7:25" ht="13.2">
      <c r="G91" s="70"/>
      <c r="H91" s="70"/>
      <c r="I91" s="70"/>
      <c r="J91" s="70"/>
      <c r="K91" s="70"/>
      <c r="L91" s="70"/>
      <c r="M91" s="70"/>
      <c r="N91" s="70"/>
      <c r="O91" s="70"/>
      <c r="P91" s="70"/>
      <c r="S91" s="70"/>
      <c r="T91" s="70"/>
      <c r="U91" s="70"/>
      <c r="V91" s="70"/>
      <c r="W91" s="70"/>
      <c r="X91" s="70"/>
      <c r="Y91" s="70"/>
    </row>
    <row r="92" spans="7:25" ht="13.2">
      <c r="G92" s="70"/>
      <c r="H92" s="70"/>
      <c r="I92" s="70"/>
      <c r="J92" s="70"/>
      <c r="K92" s="70"/>
      <c r="L92" s="70"/>
      <c r="M92" s="70"/>
      <c r="N92" s="70"/>
      <c r="O92" s="70"/>
      <c r="P92" s="70"/>
      <c r="S92" s="70"/>
      <c r="T92" s="70"/>
      <c r="U92" s="70"/>
      <c r="V92" s="70"/>
      <c r="W92" s="70"/>
      <c r="X92" s="70"/>
      <c r="Y92" s="70"/>
    </row>
    <row r="93" spans="7:25" ht="13.2">
      <c r="G93" s="70"/>
      <c r="H93" s="70"/>
      <c r="I93" s="70"/>
      <c r="J93" s="70"/>
      <c r="K93" s="70"/>
      <c r="L93" s="70"/>
      <c r="M93" s="70"/>
      <c r="N93" s="70"/>
      <c r="O93" s="70"/>
      <c r="P93" s="70"/>
      <c r="S93" s="70"/>
      <c r="T93" s="70"/>
      <c r="U93" s="70"/>
      <c r="V93" s="70"/>
      <c r="W93" s="70"/>
      <c r="X93" s="70"/>
      <c r="Y93" s="70"/>
    </row>
    <row r="94" spans="7:25" ht="13.2">
      <c r="G94" s="70"/>
      <c r="H94" s="70"/>
      <c r="I94" s="70"/>
      <c r="J94" s="70"/>
      <c r="K94" s="70"/>
      <c r="L94" s="70"/>
      <c r="M94" s="70"/>
      <c r="N94" s="70"/>
      <c r="O94" s="70"/>
      <c r="P94" s="70"/>
      <c r="S94" s="70"/>
      <c r="T94" s="70"/>
      <c r="U94" s="70"/>
      <c r="V94" s="70"/>
      <c r="W94" s="70"/>
      <c r="X94" s="70"/>
      <c r="Y94" s="70"/>
    </row>
    <row r="95" spans="7:25" ht="13.2">
      <c r="G95" s="70"/>
      <c r="H95" s="70"/>
      <c r="I95" s="70"/>
      <c r="J95" s="70"/>
      <c r="K95" s="70"/>
      <c r="L95" s="70"/>
      <c r="M95" s="70"/>
      <c r="N95" s="70"/>
      <c r="O95" s="70"/>
      <c r="P95" s="70"/>
      <c r="S95" s="70"/>
      <c r="T95" s="70"/>
      <c r="U95" s="70"/>
      <c r="V95" s="70"/>
      <c r="W95" s="70"/>
      <c r="X95" s="70"/>
      <c r="Y95" s="70"/>
    </row>
    <row r="96" spans="7:25" ht="13.2">
      <c r="G96" s="70"/>
      <c r="H96" s="70"/>
      <c r="I96" s="70"/>
      <c r="J96" s="70"/>
      <c r="K96" s="70"/>
      <c r="L96" s="70"/>
      <c r="M96" s="70"/>
      <c r="N96" s="70"/>
      <c r="O96" s="70"/>
      <c r="P96" s="70"/>
      <c r="S96" s="70"/>
      <c r="T96" s="70"/>
      <c r="U96" s="70"/>
      <c r="V96" s="70"/>
      <c r="W96" s="70"/>
      <c r="X96" s="70"/>
      <c r="Y96" s="70"/>
    </row>
    <row r="97" spans="7:25" ht="13.2">
      <c r="G97" s="70"/>
      <c r="H97" s="70"/>
      <c r="I97" s="70"/>
      <c r="J97" s="70"/>
      <c r="K97" s="70"/>
      <c r="L97" s="70"/>
      <c r="M97" s="70"/>
      <c r="N97" s="70"/>
      <c r="O97" s="70"/>
      <c r="P97" s="70"/>
      <c r="S97" s="70"/>
      <c r="T97" s="70"/>
      <c r="U97" s="70"/>
      <c r="V97" s="70"/>
      <c r="W97" s="70"/>
      <c r="X97" s="70"/>
      <c r="Y97" s="70"/>
    </row>
    <row r="98" spans="7:25" ht="13.2">
      <c r="G98" s="70"/>
      <c r="H98" s="70"/>
      <c r="I98" s="70"/>
      <c r="J98" s="70"/>
      <c r="K98" s="70"/>
      <c r="L98" s="70"/>
      <c r="M98" s="70"/>
      <c r="N98" s="70"/>
      <c r="O98" s="70"/>
      <c r="P98" s="70"/>
      <c r="S98" s="70"/>
      <c r="T98" s="70"/>
      <c r="U98" s="70"/>
      <c r="V98" s="70"/>
      <c r="W98" s="70"/>
      <c r="X98" s="70"/>
      <c r="Y98" s="70"/>
    </row>
    <row r="99" spans="7:25" ht="13.2">
      <c r="G99" s="70"/>
      <c r="H99" s="70"/>
      <c r="I99" s="70"/>
      <c r="J99" s="70"/>
      <c r="K99" s="70"/>
      <c r="L99" s="70"/>
      <c r="M99" s="70"/>
      <c r="N99" s="70"/>
      <c r="O99" s="70"/>
      <c r="P99" s="70"/>
      <c r="S99" s="70"/>
      <c r="T99" s="70"/>
      <c r="U99" s="70"/>
      <c r="V99" s="70"/>
      <c r="W99" s="70"/>
      <c r="X99" s="70"/>
      <c r="Y99" s="70"/>
    </row>
    <row r="100" spans="7:25" ht="13.2"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S100" s="70"/>
      <c r="T100" s="70"/>
      <c r="U100" s="70"/>
      <c r="V100" s="70"/>
      <c r="W100" s="70"/>
      <c r="X100" s="70"/>
      <c r="Y100" s="70"/>
    </row>
    <row r="101" spans="7:25" ht="13.2"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S101" s="70"/>
      <c r="T101" s="70"/>
      <c r="U101" s="70"/>
      <c r="V101" s="70"/>
      <c r="W101" s="70"/>
      <c r="X101" s="70"/>
      <c r="Y101" s="70"/>
    </row>
    <row r="102" spans="7:25" ht="13.2"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S102" s="70"/>
      <c r="T102" s="70"/>
      <c r="U102" s="70"/>
      <c r="V102" s="70"/>
      <c r="W102" s="70"/>
      <c r="X102" s="70"/>
      <c r="Y102" s="70"/>
    </row>
    <row r="103" spans="7:25" ht="13.2"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S103" s="70"/>
      <c r="T103" s="70"/>
      <c r="U103" s="70"/>
      <c r="V103" s="70"/>
      <c r="W103" s="70"/>
      <c r="X103" s="70"/>
      <c r="Y103" s="70"/>
    </row>
    <row r="104" spans="7:25" ht="13.2"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S104" s="70"/>
      <c r="T104" s="70"/>
      <c r="U104" s="70"/>
      <c r="V104" s="70"/>
      <c r="W104" s="70"/>
      <c r="X104" s="70"/>
      <c r="Y104" s="70"/>
    </row>
    <row r="105" spans="7:25" ht="13.2"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S105" s="70"/>
      <c r="T105" s="70"/>
      <c r="U105" s="70"/>
      <c r="V105" s="70"/>
      <c r="W105" s="70"/>
      <c r="X105" s="70"/>
      <c r="Y105" s="70"/>
    </row>
    <row r="106" spans="7:25" ht="13.2"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S106" s="70"/>
      <c r="T106" s="70"/>
      <c r="U106" s="70"/>
      <c r="V106" s="70"/>
      <c r="W106" s="70"/>
      <c r="X106" s="70"/>
      <c r="Y106" s="70"/>
    </row>
    <row r="107" spans="7:25" ht="13.2"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S107" s="70"/>
      <c r="T107" s="70"/>
      <c r="U107" s="70"/>
      <c r="V107" s="70"/>
      <c r="W107" s="70"/>
      <c r="X107" s="70"/>
      <c r="Y107" s="70"/>
    </row>
    <row r="108" spans="7:25" ht="13.2"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S108" s="70"/>
      <c r="T108" s="70"/>
      <c r="U108" s="70"/>
      <c r="V108" s="70"/>
      <c r="W108" s="70"/>
      <c r="X108" s="70"/>
      <c r="Y108" s="70"/>
    </row>
    <row r="109" spans="7:25" ht="13.2"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S109" s="70"/>
      <c r="T109" s="70"/>
      <c r="U109" s="70"/>
      <c r="V109" s="70"/>
      <c r="W109" s="70"/>
      <c r="X109" s="70"/>
      <c r="Y109" s="70"/>
    </row>
    <row r="110" spans="7:25" ht="13.2"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S110" s="70"/>
      <c r="T110" s="70"/>
      <c r="U110" s="70"/>
      <c r="V110" s="70"/>
      <c r="W110" s="70"/>
      <c r="X110" s="70"/>
      <c r="Y110" s="70"/>
    </row>
    <row r="111" spans="7:25" ht="13.2"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S111" s="70"/>
      <c r="T111" s="70"/>
      <c r="U111" s="70"/>
      <c r="V111" s="70"/>
      <c r="W111" s="70"/>
      <c r="X111" s="70"/>
      <c r="Y111" s="70"/>
    </row>
    <row r="112" spans="7:25" ht="13.2"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S112" s="70"/>
      <c r="T112" s="70"/>
      <c r="U112" s="70"/>
      <c r="V112" s="70"/>
      <c r="W112" s="70"/>
      <c r="X112" s="70"/>
      <c r="Y112" s="70"/>
    </row>
    <row r="113" spans="7:25" ht="13.2"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S113" s="70"/>
      <c r="T113" s="70"/>
      <c r="U113" s="70"/>
      <c r="V113" s="70"/>
      <c r="W113" s="70"/>
      <c r="X113" s="70"/>
      <c r="Y113" s="70"/>
    </row>
    <row r="114" spans="7:25" ht="13.2"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S114" s="70"/>
      <c r="T114" s="70"/>
      <c r="U114" s="70"/>
      <c r="V114" s="70"/>
      <c r="W114" s="70"/>
      <c r="X114" s="70"/>
      <c r="Y114" s="70"/>
    </row>
    <row r="115" spans="7:25" ht="13.2"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S115" s="70"/>
      <c r="T115" s="70"/>
      <c r="U115" s="70"/>
      <c r="V115" s="70"/>
      <c r="W115" s="70"/>
      <c r="X115" s="70"/>
      <c r="Y115" s="70"/>
    </row>
    <row r="116" spans="7:25" ht="13.2"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S116" s="70"/>
      <c r="T116" s="70"/>
      <c r="U116" s="70"/>
      <c r="V116" s="70"/>
      <c r="W116" s="70"/>
      <c r="X116" s="70"/>
      <c r="Y116" s="70"/>
    </row>
    <row r="117" spans="7:25" ht="13.2"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S117" s="70"/>
      <c r="T117" s="70"/>
      <c r="U117" s="70"/>
      <c r="V117" s="70"/>
      <c r="W117" s="70"/>
      <c r="X117" s="70"/>
      <c r="Y117" s="70"/>
    </row>
    <row r="118" spans="7:25" ht="13.2"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S118" s="70"/>
      <c r="T118" s="70"/>
      <c r="U118" s="70"/>
      <c r="V118" s="70"/>
      <c r="W118" s="70"/>
      <c r="X118" s="70"/>
      <c r="Y118" s="70"/>
    </row>
    <row r="119" spans="7:25" ht="13.2"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S119" s="70"/>
      <c r="T119" s="70"/>
      <c r="U119" s="70"/>
      <c r="V119" s="70"/>
      <c r="W119" s="70"/>
      <c r="X119" s="70"/>
      <c r="Y119" s="70"/>
    </row>
    <row r="120" spans="7:25" ht="13.2"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S120" s="70"/>
      <c r="T120" s="70"/>
      <c r="U120" s="70"/>
      <c r="V120" s="70"/>
      <c r="W120" s="70"/>
      <c r="X120" s="70"/>
      <c r="Y120" s="70"/>
    </row>
    <row r="121" spans="7:25" ht="13.2"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S121" s="70"/>
      <c r="T121" s="70"/>
      <c r="U121" s="70"/>
      <c r="V121" s="70"/>
      <c r="W121" s="70"/>
      <c r="X121" s="70"/>
      <c r="Y121" s="70"/>
    </row>
    <row r="122" spans="7:25" ht="13.2"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S122" s="70"/>
      <c r="T122" s="70"/>
      <c r="U122" s="70"/>
      <c r="V122" s="70"/>
      <c r="W122" s="70"/>
      <c r="X122" s="70"/>
      <c r="Y122" s="70"/>
    </row>
    <row r="123" spans="7:25" ht="13.2"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S123" s="70"/>
      <c r="T123" s="70"/>
      <c r="U123" s="70"/>
      <c r="V123" s="70"/>
      <c r="W123" s="70"/>
      <c r="X123" s="70"/>
      <c r="Y123" s="70"/>
    </row>
    <row r="124" spans="7:25" ht="13.2"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S124" s="70"/>
      <c r="T124" s="70"/>
      <c r="U124" s="70"/>
      <c r="V124" s="70"/>
      <c r="W124" s="70"/>
      <c r="X124" s="70"/>
      <c r="Y124" s="70"/>
    </row>
    <row r="125" spans="7:25" ht="13.2"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S125" s="70"/>
      <c r="T125" s="70"/>
      <c r="U125" s="70"/>
      <c r="V125" s="70"/>
      <c r="W125" s="70"/>
      <c r="X125" s="70"/>
      <c r="Y125" s="70"/>
    </row>
    <row r="126" spans="7:25" ht="13.2"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S126" s="70"/>
      <c r="T126" s="70"/>
      <c r="U126" s="70"/>
      <c r="V126" s="70"/>
      <c r="W126" s="70"/>
      <c r="X126" s="70"/>
      <c r="Y126" s="70"/>
    </row>
    <row r="127" spans="7:25" ht="13.2"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S127" s="70"/>
      <c r="T127" s="70"/>
      <c r="U127" s="70"/>
      <c r="V127" s="70"/>
      <c r="W127" s="70"/>
      <c r="X127" s="70"/>
      <c r="Y127" s="70"/>
    </row>
    <row r="128" spans="7:25" ht="13.2"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S128" s="70"/>
      <c r="T128" s="70"/>
      <c r="U128" s="70"/>
      <c r="V128" s="70"/>
      <c r="W128" s="70"/>
      <c r="X128" s="70"/>
      <c r="Y128" s="70"/>
    </row>
    <row r="129" spans="7:25" ht="13.2"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S129" s="70"/>
      <c r="T129" s="70"/>
      <c r="U129" s="70"/>
      <c r="V129" s="70"/>
      <c r="W129" s="70"/>
      <c r="X129" s="70"/>
      <c r="Y129" s="70"/>
    </row>
    <row r="130" spans="7:25" ht="13.2"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S130" s="70"/>
      <c r="T130" s="70"/>
      <c r="U130" s="70"/>
      <c r="V130" s="70"/>
      <c r="W130" s="70"/>
      <c r="X130" s="70"/>
      <c r="Y130" s="70"/>
    </row>
    <row r="131" spans="7:25" ht="13.2"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S131" s="70"/>
      <c r="T131" s="70"/>
      <c r="U131" s="70"/>
      <c r="V131" s="70"/>
      <c r="W131" s="70"/>
      <c r="X131" s="70"/>
      <c r="Y131" s="70"/>
    </row>
    <row r="132" spans="7:25" ht="13.2"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S132" s="70"/>
      <c r="T132" s="70"/>
      <c r="U132" s="70"/>
      <c r="V132" s="70"/>
      <c r="W132" s="70"/>
      <c r="X132" s="70"/>
      <c r="Y132" s="70"/>
    </row>
    <row r="133" spans="7:25" ht="13.2"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S133" s="70"/>
      <c r="T133" s="70"/>
      <c r="U133" s="70"/>
      <c r="V133" s="70"/>
      <c r="W133" s="70"/>
      <c r="X133" s="70"/>
      <c r="Y133" s="70"/>
    </row>
    <row r="134" spans="7:25" ht="13.2"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S134" s="70"/>
      <c r="T134" s="70"/>
      <c r="U134" s="70"/>
      <c r="V134" s="70"/>
      <c r="W134" s="70"/>
      <c r="X134" s="70"/>
      <c r="Y134" s="70"/>
    </row>
    <row r="135" spans="7:25" ht="13.2"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S135" s="70"/>
      <c r="T135" s="70"/>
      <c r="U135" s="70"/>
      <c r="V135" s="70"/>
      <c r="W135" s="70"/>
      <c r="X135" s="70"/>
      <c r="Y135" s="70"/>
    </row>
    <row r="136" spans="7:25" ht="13.2"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S136" s="70"/>
      <c r="T136" s="70"/>
      <c r="U136" s="70"/>
      <c r="V136" s="70"/>
      <c r="W136" s="70"/>
      <c r="X136" s="70"/>
      <c r="Y136" s="70"/>
    </row>
    <row r="137" spans="7:25" ht="13.2"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S137" s="70"/>
      <c r="T137" s="70"/>
      <c r="U137" s="70"/>
      <c r="V137" s="70"/>
      <c r="W137" s="70"/>
      <c r="X137" s="70"/>
      <c r="Y137" s="70"/>
    </row>
    <row r="138" spans="7:25" ht="13.2"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S138" s="70"/>
      <c r="T138" s="70"/>
      <c r="U138" s="70"/>
      <c r="V138" s="70"/>
      <c r="W138" s="70"/>
      <c r="X138" s="70"/>
      <c r="Y138" s="70"/>
    </row>
    <row r="139" spans="7:25" ht="13.2"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S139" s="70"/>
      <c r="T139" s="70"/>
      <c r="U139" s="70"/>
      <c r="V139" s="70"/>
      <c r="W139" s="70"/>
      <c r="X139" s="70"/>
      <c r="Y139" s="70"/>
    </row>
    <row r="140" spans="7:25" ht="13.2"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S140" s="70"/>
      <c r="T140" s="70"/>
      <c r="U140" s="70"/>
      <c r="V140" s="70"/>
      <c r="W140" s="70"/>
      <c r="X140" s="70"/>
      <c r="Y140" s="70"/>
    </row>
    <row r="141" spans="7:25" ht="13.2"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S141" s="70"/>
      <c r="T141" s="70"/>
      <c r="U141" s="70"/>
      <c r="V141" s="70"/>
      <c r="W141" s="70"/>
      <c r="X141" s="70"/>
      <c r="Y141" s="70"/>
    </row>
    <row r="142" spans="7:25" ht="13.2"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S142" s="70"/>
      <c r="T142" s="70"/>
      <c r="U142" s="70"/>
      <c r="V142" s="70"/>
      <c r="W142" s="70"/>
      <c r="X142" s="70"/>
      <c r="Y142" s="70"/>
    </row>
    <row r="143" spans="7:25" ht="13.2"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S143" s="70"/>
      <c r="T143" s="70"/>
      <c r="U143" s="70"/>
      <c r="V143" s="70"/>
      <c r="W143" s="70"/>
      <c r="X143" s="70"/>
      <c r="Y143" s="70"/>
    </row>
    <row r="144" spans="7:25" ht="13.2"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S144" s="70"/>
      <c r="T144" s="70"/>
      <c r="U144" s="70"/>
      <c r="V144" s="70"/>
      <c r="W144" s="70"/>
      <c r="X144" s="70"/>
      <c r="Y144" s="70"/>
    </row>
    <row r="145" spans="7:25" ht="13.2"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S145" s="70"/>
      <c r="T145" s="70"/>
      <c r="U145" s="70"/>
      <c r="V145" s="70"/>
      <c r="W145" s="70"/>
      <c r="X145" s="70"/>
      <c r="Y145" s="70"/>
    </row>
    <row r="146" spans="7:25" ht="13.2"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S146" s="70"/>
      <c r="T146" s="70"/>
      <c r="U146" s="70"/>
      <c r="V146" s="70"/>
      <c r="W146" s="70"/>
      <c r="X146" s="70"/>
      <c r="Y146" s="70"/>
    </row>
    <row r="147" spans="7:25" ht="13.2"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S147" s="70"/>
      <c r="T147" s="70"/>
      <c r="U147" s="70"/>
      <c r="V147" s="70"/>
      <c r="W147" s="70"/>
      <c r="X147" s="70"/>
      <c r="Y147" s="70"/>
    </row>
    <row r="148" spans="7:25" ht="13.2"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S148" s="70"/>
      <c r="T148" s="70"/>
      <c r="U148" s="70"/>
      <c r="V148" s="70"/>
      <c r="W148" s="70"/>
      <c r="X148" s="70"/>
      <c r="Y148" s="70"/>
    </row>
    <row r="149" spans="7:25" ht="13.2"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S149" s="70"/>
      <c r="T149" s="70"/>
      <c r="U149" s="70"/>
      <c r="V149" s="70"/>
      <c r="W149" s="70"/>
      <c r="X149" s="70"/>
      <c r="Y149" s="70"/>
    </row>
    <row r="150" spans="7:25" ht="13.2"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S150" s="70"/>
      <c r="T150" s="70"/>
      <c r="U150" s="70"/>
      <c r="V150" s="70"/>
      <c r="W150" s="70"/>
      <c r="X150" s="70"/>
      <c r="Y150" s="70"/>
    </row>
    <row r="151" spans="7:25" ht="13.2"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S151" s="70"/>
      <c r="T151" s="70"/>
      <c r="U151" s="70"/>
      <c r="V151" s="70"/>
      <c r="W151" s="70"/>
      <c r="X151" s="70"/>
      <c r="Y151" s="70"/>
    </row>
    <row r="152" spans="7:25" ht="13.2"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S152" s="70"/>
      <c r="T152" s="70"/>
      <c r="U152" s="70"/>
      <c r="V152" s="70"/>
      <c r="W152" s="70"/>
      <c r="X152" s="70"/>
      <c r="Y152" s="70"/>
    </row>
    <row r="153" spans="7:25" ht="13.2"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S153" s="70"/>
      <c r="T153" s="70"/>
      <c r="U153" s="70"/>
      <c r="V153" s="70"/>
      <c r="W153" s="70"/>
      <c r="X153" s="70"/>
      <c r="Y153" s="70"/>
    </row>
    <row r="154" spans="7:25" ht="13.2"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S154" s="70"/>
      <c r="T154" s="70"/>
      <c r="U154" s="70"/>
      <c r="V154" s="70"/>
      <c r="W154" s="70"/>
      <c r="X154" s="70"/>
      <c r="Y154" s="70"/>
    </row>
    <row r="155" spans="7:25" ht="13.2"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S155" s="70"/>
      <c r="T155" s="70"/>
      <c r="U155" s="70"/>
      <c r="V155" s="70"/>
      <c r="W155" s="70"/>
      <c r="X155" s="70"/>
      <c r="Y155" s="70"/>
    </row>
    <row r="156" spans="7:25" ht="13.2"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S156" s="70"/>
      <c r="T156" s="70"/>
      <c r="U156" s="70"/>
      <c r="V156" s="70"/>
      <c r="W156" s="70"/>
      <c r="X156" s="70"/>
      <c r="Y156" s="70"/>
    </row>
    <row r="157" spans="7:25" ht="13.2"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S157" s="70"/>
      <c r="T157" s="70"/>
      <c r="U157" s="70"/>
      <c r="V157" s="70"/>
      <c r="W157" s="70"/>
      <c r="X157" s="70"/>
      <c r="Y157" s="70"/>
    </row>
    <row r="158" spans="7:25" ht="13.2"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S158" s="70"/>
      <c r="T158" s="70"/>
      <c r="U158" s="70"/>
      <c r="V158" s="70"/>
      <c r="W158" s="70"/>
      <c r="X158" s="70"/>
      <c r="Y158" s="70"/>
    </row>
    <row r="159" spans="7:25" ht="13.2"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S159" s="70"/>
      <c r="T159" s="70"/>
      <c r="U159" s="70"/>
      <c r="V159" s="70"/>
      <c r="W159" s="70"/>
      <c r="X159" s="70"/>
      <c r="Y159" s="70"/>
    </row>
    <row r="160" spans="7:25" ht="13.2"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S160" s="70"/>
      <c r="T160" s="70"/>
      <c r="U160" s="70"/>
      <c r="V160" s="70"/>
      <c r="W160" s="70"/>
      <c r="X160" s="70"/>
      <c r="Y160" s="70"/>
    </row>
    <row r="161" spans="7:25" ht="13.2"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S161" s="70"/>
      <c r="T161" s="70"/>
      <c r="U161" s="70"/>
      <c r="V161" s="70"/>
      <c r="W161" s="70"/>
      <c r="X161" s="70"/>
      <c r="Y161" s="70"/>
    </row>
    <row r="162" spans="7:25" ht="13.2"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S162" s="70"/>
      <c r="T162" s="70"/>
      <c r="U162" s="70"/>
      <c r="V162" s="70"/>
      <c r="W162" s="70"/>
      <c r="X162" s="70"/>
      <c r="Y162" s="70"/>
    </row>
    <row r="163" spans="7:25" ht="13.2"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S163" s="70"/>
      <c r="T163" s="70"/>
      <c r="U163" s="70"/>
      <c r="V163" s="70"/>
      <c r="W163" s="70"/>
      <c r="X163" s="70"/>
      <c r="Y163" s="70"/>
    </row>
    <row r="164" spans="7:25" ht="13.2"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S164" s="70"/>
      <c r="T164" s="70"/>
      <c r="U164" s="70"/>
      <c r="V164" s="70"/>
      <c r="W164" s="70"/>
      <c r="X164" s="70"/>
      <c r="Y164" s="70"/>
    </row>
    <row r="165" spans="7:25" ht="13.2"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S165" s="70"/>
      <c r="T165" s="70"/>
      <c r="U165" s="70"/>
      <c r="V165" s="70"/>
      <c r="W165" s="70"/>
      <c r="X165" s="70"/>
      <c r="Y165" s="70"/>
    </row>
    <row r="166" spans="7:25" ht="13.2"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S166" s="70"/>
      <c r="T166" s="70"/>
      <c r="U166" s="70"/>
      <c r="V166" s="70"/>
      <c r="W166" s="70"/>
      <c r="X166" s="70"/>
      <c r="Y166" s="70"/>
    </row>
    <row r="167" spans="7:25" ht="13.2"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S167" s="70"/>
      <c r="T167" s="70"/>
      <c r="U167" s="70"/>
      <c r="V167" s="70"/>
      <c r="W167" s="70"/>
      <c r="X167" s="70"/>
      <c r="Y167" s="70"/>
    </row>
    <row r="168" spans="7:25" ht="13.2"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S168" s="70"/>
      <c r="T168" s="70"/>
      <c r="U168" s="70"/>
      <c r="V168" s="70"/>
      <c r="W168" s="70"/>
      <c r="X168" s="70"/>
      <c r="Y168" s="70"/>
    </row>
    <row r="169" spans="7:25" ht="13.2"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S169" s="70"/>
      <c r="T169" s="70"/>
      <c r="U169" s="70"/>
      <c r="V169" s="70"/>
      <c r="W169" s="70"/>
      <c r="X169" s="70"/>
      <c r="Y169" s="70"/>
    </row>
    <row r="170" spans="7:25" ht="13.2"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S170" s="70"/>
      <c r="T170" s="70"/>
      <c r="U170" s="70"/>
      <c r="V170" s="70"/>
      <c r="W170" s="70"/>
      <c r="X170" s="70"/>
      <c r="Y170" s="70"/>
    </row>
    <row r="171" spans="7:25" ht="13.2"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S171" s="70"/>
      <c r="T171" s="70"/>
      <c r="U171" s="70"/>
      <c r="V171" s="70"/>
      <c r="W171" s="70"/>
      <c r="X171" s="70"/>
      <c r="Y171" s="70"/>
    </row>
    <row r="172" spans="7:25" ht="13.2"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S172" s="70"/>
      <c r="T172" s="70"/>
      <c r="U172" s="70"/>
      <c r="V172" s="70"/>
      <c r="W172" s="70"/>
      <c r="X172" s="70"/>
      <c r="Y172" s="70"/>
    </row>
    <row r="173" spans="7:25" ht="13.2"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S173" s="70"/>
      <c r="T173" s="70"/>
      <c r="U173" s="70"/>
      <c r="V173" s="70"/>
      <c r="W173" s="70"/>
      <c r="X173" s="70"/>
      <c r="Y173" s="70"/>
    </row>
    <row r="174" spans="7:25" ht="13.2"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S174" s="70"/>
      <c r="T174" s="70"/>
      <c r="U174" s="70"/>
      <c r="V174" s="70"/>
      <c r="W174" s="70"/>
      <c r="X174" s="70"/>
      <c r="Y174" s="70"/>
    </row>
    <row r="175" spans="7:25" ht="13.2"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S175" s="70"/>
      <c r="T175" s="70"/>
      <c r="U175" s="70"/>
      <c r="V175" s="70"/>
      <c r="W175" s="70"/>
      <c r="X175" s="70"/>
      <c r="Y175" s="70"/>
    </row>
    <row r="176" spans="7:25" ht="13.2"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S176" s="70"/>
      <c r="T176" s="70"/>
      <c r="U176" s="70"/>
      <c r="V176" s="70"/>
      <c r="W176" s="70"/>
      <c r="X176" s="70"/>
      <c r="Y176" s="70"/>
    </row>
    <row r="177" spans="7:25" ht="13.2"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S177" s="70"/>
      <c r="T177" s="70"/>
      <c r="U177" s="70"/>
      <c r="V177" s="70"/>
      <c r="W177" s="70"/>
      <c r="X177" s="70"/>
      <c r="Y177" s="70"/>
    </row>
    <row r="178" spans="7:25" ht="13.2"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S178" s="70"/>
      <c r="T178" s="70"/>
      <c r="U178" s="70"/>
      <c r="V178" s="70"/>
      <c r="W178" s="70"/>
      <c r="X178" s="70"/>
      <c r="Y178" s="70"/>
    </row>
    <row r="179" spans="7:25" ht="13.2"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S179" s="70"/>
      <c r="T179" s="70"/>
      <c r="U179" s="70"/>
      <c r="V179" s="70"/>
      <c r="W179" s="70"/>
      <c r="X179" s="70"/>
      <c r="Y179" s="70"/>
    </row>
    <row r="180" spans="7:25" ht="13.2"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S180" s="70"/>
      <c r="T180" s="70"/>
      <c r="U180" s="70"/>
      <c r="V180" s="70"/>
      <c r="W180" s="70"/>
      <c r="X180" s="70"/>
      <c r="Y180" s="70"/>
    </row>
    <row r="181" spans="7:25" ht="13.2"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S181" s="70"/>
      <c r="T181" s="70"/>
      <c r="U181" s="70"/>
      <c r="V181" s="70"/>
      <c r="W181" s="70"/>
      <c r="X181" s="70"/>
      <c r="Y181" s="70"/>
    </row>
    <row r="182" spans="7:25" ht="13.2"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S182" s="70"/>
      <c r="T182" s="70"/>
      <c r="U182" s="70"/>
      <c r="V182" s="70"/>
      <c r="W182" s="70"/>
      <c r="X182" s="70"/>
      <c r="Y182" s="70"/>
    </row>
    <row r="183" spans="7:25" ht="13.2"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S183" s="70"/>
      <c r="T183" s="70"/>
      <c r="U183" s="70"/>
      <c r="V183" s="70"/>
      <c r="W183" s="70"/>
      <c r="X183" s="70"/>
      <c r="Y183" s="70"/>
    </row>
    <row r="184" spans="7:25" ht="13.2"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S184" s="70"/>
      <c r="T184" s="70"/>
      <c r="U184" s="70"/>
      <c r="V184" s="70"/>
      <c r="W184" s="70"/>
      <c r="X184" s="70"/>
      <c r="Y184" s="70"/>
    </row>
    <row r="185" spans="7:25" ht="13.2"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S185" s="70"/>
      <c r="T185" s="70"/>
      <c r="U185" s="70"/>
      <c r="V185" s="70"/>
      <c r="W185" s="70"/>
      <c r="X185" s="70"/>
      <c r="Y185" s="70"/>
    </row>
    <row r="186" spans="7:25" ht="13.2"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S186" s="70"/>
      <c r="T186" s="70"/>
      <c r="U186" s="70"/>
      <c r="V186" s="70"/>
      <c r="W186" s="70"/>
      <c r="X186" s="70"/>
      <c r="Y186" s="70"/>
    </row>
    <row r="187" spans="7:25" ht="13.2"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S187" s="70"/>
      <c r="T187" s="70"/>
      <c r="U187" s="70"/>
      <c r="V187" s="70"/>
      <c r="W187" s="70"/>
      <c r="X187" s="70"/>
      <c r="Y187" s="70"/>
    </row>
    <row r="188" spans="7:25" ht="13.2"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S188" s="70"/>
      <c r="T188" s="70"/>
      <c r="U188" s="70"/>
      <c r="V188" s="70"/>
      <c r="W188" s="70"/>
      <c r="X188" s="70"/>
      <c r="Y188" s="70"/>
    </row>
    <row r="189" spans="7:25" ht="13.2"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S189" s="70"/>
      <c r="T189" s="70"/>
      <c r="U189" s="70"/>
      <c r="V189" s="70"/>
      <c r="W189" s="70"/>
      <c r="X189" s="70"/>
      <c r="Y189" s="70"/>
    </row>
    <row r="190" spans="7:25" ht="13.2"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S190" s="70"/>
      <c r="T190" s="70"/>
      <c r="U190" s="70"/>
      <c r="V190" s="70"/>
      <c r="W190" s="70"/>
      <c r="X190" s="70"/>
      <c r="Y190" s="70"/>
    </row>
    <row r="191" spans="7:25" ht="13.2"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S191" s="70"/>
      <c r="T191" s="70"/>
      <c r="U191" s="70"/>
      <c r="V191" s="70"/>
      <c r="W191" s="70"/>
      <c r="X191" s="70"/>
      <c r="Y191" s="70"/>
    </row>
    <row r="192" spans="7:25" ht="13.2"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S192" s="70"/>
      <c r="T192" s="70"/>
      <c r="U192" s="70"/>
      <c r="V192" s="70"/>
      <c r="W192" s="70"/>
      <c r="X192" s="70"/>
      <c r="Y192" s="70"/>
    </row>
    <row r="193" spans="7:25" ht="13.2"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S193" s="70"/>
      <c r="T193" s="70"/>
      <c r="U193" s="70"/>
      <c r="V193" s="70"/>
      <c r="W193" s="70"/>
      <c r="X193" s="70"/>
      <c r="Y193" s="70"/>
    </row>
    <row r="194" spans="7:25" ht="13.2"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S194" s="70"/>
      <c r="T194" s="70"/>
      <c r="U194" s="70"/>
      <c r="V194" s="70"/>
      <c r="W194" s="70"/>
      <c r="X194" s="70"/>
      <c r="Y194" s="70"/>
    </row>
    <row r="195" spans="7:25" ht="13.2"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S195" s="70"/>
      <c r="T195" s="70"/>
      <c r="U195" s="70"/>
      <c r="V195" s="70"/>
      <c r="W195" s="70"/>
      <c r="X195" s="70"/>
      <c r="Y195" s="70"/>
    </row>
    <row r="196" spans="7:25" ht="13.2"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S196" s="70"/>
      <c r="T196" s="70"/>
      <c r="U196" s="70"/>
      <c r="V196" s="70"/>
      <c r="W196" s="70"/>
      <c r="X196" s="70"/>
      <c r="Y196" s="70"/>
    </row>
    <row r="197" spans="7:25" ht="13.2"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S197" s="70"/>
      <c r="T197" s="70"/>
      <c r="U197" s="70"/>
      <c r="V197" s="70"/>
      <c r="W197" s="70"/>
      <c r="X197" s="70"/>
      <c r="Y197" s="70"/>
    </row>
    <row r="198" spans="7:25" ht="13.2"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S198" s="70"/>
      <c r="T198" s="70"/>
      <c r="U198" s="70"/>
      <c r="V198" s="70"/>
      <c r="W198" s="70"/>
      <c r="X198" s="70"/>
      <c r="Y198" s="70"/>
    </row>
    <row r="199" spans="7:25" ht="13.2"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S199" s="70"/>
      <c r="T199" s="70"/>
      <c r="U199" s="70"/>
      <c r="V199" s="70"/>
      <c r="W199" s="70"/>
      <c r="X199" s="70"/>
      <c r="Y199" s="70"/>
    </row>
    <row r="200" spans="7:25" ht="13.2"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S200" s="70"/>
      <c r="T200" s="70"/>
      <c r="U200" s="70"/>
      <c r="V200" s="70"/>
      <c r="W200" s="70"/>
      <c r="X200" s="70"/>
      <c r="Y200" s="70"/>
    </row>
    <row r="201" spans="7:25" ht="13.2"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S201" s="70"/>
      <c r="T201" s="70"/>
      <c r="U201" s="70"/>
      <c r="V201" s="70"/>
      <c r="W201" s="70"/>
      <c r="X201" s="70"/>
      <c r="Y201" s="70"/>
    </row>
    <row r="202" spans="7:25" ht="13.2"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S202" s="70"/>
      <c r="T202" s="70"/>
      <c r="U202" s="70"/>
      <c r="V202" s="70"/>
      <c r="W202" s="70"/>
      <c r="X202" s="70"/>
      <c r="Y202" s="70"/>
    </row>
    <row r="203" spans="7:25" ht="13.2"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S203" s="70"/>
      <c r="T203" s="70"/>
      <c r="U203" s="70"/>
      <c r="V203" s="70"/>
      <c r="W203" s="70"/>
      <c r="X203" s="70"/>
      <c r="Y203" s="70"/>
    </row>
    <row r="204" spans="7:25" ht="13.2"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S204" s="70"/>
      <c r="T204" s="70"/>
      <c r="U204" s="70"/>
      <c r="V204" s="70"/>
      <c r="W204" s="70"/>
      <c r="X204" s="70"/>
      <c r="Y204" s="70"/>
    </row>
    <row r="205" spans="7:25" ht="13.2"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S205" s="70"/>
      <c r="T205" s="70"/>
      <c r="U205" s="70"/>
      <c r="V205" s="70"/>
      <c r="W205" s="70"/>
      <c r="X205" s="70"/>
      <c r="Y205" s="70"/>
    </row>
    <row r="206" spans="7:25" ht="13.2"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S206" s="70"/>
      <c r="T206" s="70"/>
      <c r="U206" s="70"/>
      <c r="V206" s="70"/>
      <c r="W206" s="70"/>
      <c r="X206" s="70"/>
      <c r="Y206" s="70"/>
    </row>
    <row r="207" spans="7:25" ht="13.2"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S207" s="70"/>
      <c r="T207" s="70"/>
      <c r="U207" s="70"/>
      <c r="V207" s="70"/>
      <c r="W207" s="70"/>
      <c r="X207" s="70"/>
      <c r="Y207" s="70"/>
    </row>
    <row r="208" spans="7:25" ht="13.2"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S208" s="70"/>
      <c r="T208" s="70"/>
      <c r="U208" s="70"/>
      <c r="V208" s="70"/>
      <c r="W208" s="70"/>
      <c r="X208" s="70"/>
      <c r="Y208" s="70"/>
    </row>
    <row r="209" spans="7:25" ht="13.2"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S209" s="70"/>
      <c r="T209" s="70"/>
      <c r="U209" s="70"/>
      <c r="V209" s="70"/>
      <c r="W209" s="70"/>
      <c r="X209" s="70"/>
      <c r="Y209" s="70"/>
    </row>
    <row r="210" spans="7:25" ht="13.2"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S210" s="70"/>
      <c r="T210" s="70"/>
      <c r="U210" s="70"/>
      <c r="V210" s="70"/>
      <c r="W210" s="70"/>
      <c r="X210" s="70"/>
      <c r="Y210" s="70"/>
    </row>
    <row r="211" spans="7:25" ht="13.2"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S211" s="70"/>
      <c r="T211" s="70"/>
      <c r="U211" s="70"/>
      <c r="V211" s="70"/>
      <c r="W211" s="70"/>
      <c r="X211" s="70"/>
      <c r="Y211" s="70"/>
    </row>
    <row r="212" spans="7:25" ht="13.2"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S212" s="70"/>
      <c r="T212" s="70"/>
      <c r="U212" s="70"/>
      <c r="V212" s="70"/>
      <c r="W212" s="70"/>
      <c r="X212" s="70"/>
      <c r="Y212" s="70"/>
    </row>
    <row r="213" spans="7:25" ht="13.2"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S213" s="70"/>
      <c r="T213" s="70"/>
      <c r="U213" s="70"/>
      <c r="V213" s="70"/>
      <c r="W213" s="70"/>
      <c r="X213" s="70"/>
      <c r="Y213" s="70"/>
    </row>
    <row r="214" spans="7:25" ht="13.2"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S214" s="70"/>
      <c r="T214" s="70"/>
      <c r="U214" s="70"/>
      <c r="V214" s="70"/>
      <c r="W214" s="70"/>
      <c r="X214" s="70"/>
      <c r="Y214" s="70"/>
    </row>
    <row r="215" spans="7:25" ht="13.2"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S215" s="70"/>
      <c r="T215" s="70"/>
      <c r="U215" s="70"/>
      <c r="V215" s="70"/>
      <c r="W215" s="70"/>
      <c r="X215" s="70"/>
      <c r="Y215" s="70"/>
    </row>
    <row r="216" spans="7:25" ht="13.2"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S216" s="70"/>
      <c r="T216" s="70"/>
      <c r="U216" s="70"/>
      <c r="V216" s="70"/>
      <c r="W216" s="70"/>
      <c r="X216" s="70"/>
      <c r="Y216" s="70"/>
    </row>
    <row r="217" spans="7:25" ht="13.2"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S217" s="70"/>
      <c r="T217" s="70"/>
      <c r="U217" s="70"/>
      <c r="V217" s="70"/>
      <c r="W217" s="70"/>
      <c r="X217" s="70"/>
      <c r="Y217" s="70"/>
    </row>
    <row r="218" spans="7:25" ht="13.2"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S218" s="70"/>
      <c r="T218" s="70"/>
      <c r="U218" s="70"/>
      <c r="V218" s="70"/>
      <c r="W218" s="70"/>
      <c r="X218" s="70"/>
      <c r="Y218" s="70"/>
    </row>
    <row r="219" spans="7:25" ht="13.2"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S219" s="70"/>
      <c r="T219" s="70"/>
      <c r="U219" s="70"/>
      <c r="V219" s="70"/>
      <c r="W219" s="70"/>
      <c r="X219" s="70"/>
      <c r="Y219" s="70"/>
    </row>
    <row r="220" spans="7:25" ht="13.2"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S220" s="70"/>
      <c r="T220" s="70"/>
      <c r="U220" s="70"/>
      <c r="V220" s="70"/>
      <c r="W220" s="70"/>
      <c r="X220" s="70"/>
      <c r="Y220" s="70"/>
    </row>
    <row r="221" spans="7:25" ht="13.2"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S221" s="70"/>
      <c r="T221" s="70"/>
      <c r="U221" s="70"/>
      <c r="V221" s="70"/>
      <c r="W221" s="70"/>
      <c r="X221" s="70"/>
      <c r="Y221" s="70"/>
    </row>
    <row r="222" spans="7:25" ht="13.2"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S222" s="70"/>
      <c r="T222" s="70"/>
      <c r="U222" s="70"/>
      <c r="V222" s="70"/>
      <c r="W222" s="70"/>
      <c r="X222" s="70"/>
      <c r="Y222" s="70"/>
    </row>
    <row r="223" spans="7:25" ht="13.2"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S223" s="70"/>
      <c r="T223" s="70"/>
      <c r="U223" s="70"/>
      <c r="V223" s="70"/>
      <c r="W223" s="70"/>
      <c r="X223" s="70"/>
      <c r="Y223" s="70"/>
    </row>
    <row r="224" spans="7:25" ht="13.2"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S224" s="70"/>
      <c r="T224" s="70"/>
      <c r="U224" s="70"/>
      <c r="V224" s="70"/>
      <c r="W224" s="70"/>
      <c r="X224" s="70"/>
      <c r="Y224" s="70"/>
    </row>
    <row r="225" spans="7:25" ht="13.2"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S225" s="70"/>
      <c r="T225" s="70"/>
      <c r="U225" s="70"/>
      <c r="V225" s="70"/>
      <c r="W225" s="70"/>
      <c r="X225" s="70"/>
      <c r="Y225" s="70"/>
    </row>
    <row r="226" spans="7:25" ht="13.2"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S226" s="70"/>
      <c r="T226" s="70"/>
      <c r="U226" s="70"/>
      <c r="V226" s="70"/>
      <c r="W226" s="70"/>
      <c r="X226" s="70"/>
      <c r="Y226" s="70"/>
    </row>
    <row r="227" spans="7:25" ht="13.2"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S227" s="70"/>
      <c r="T227" s="70"/>
      <c r="U227" s="70"/>
      <c r="V227" s="70"/>
      <c r="W227" s="70"/>
      <c r="X227" s="70"/>
      <c r="Y227" s="70"/>
    </row>
    <row r="228" spans="7:25" ht="13.2"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S228" s="70"/>
      <c r="T228" s="70"/>
      <c r="U228" s="70"/>
      <c r="V228" s="70"/>
      <c r="W228" s="70"/>
      <c r="X228" s="70"/>
      <c r="Y228" s="70"/>
    </row>
    <row r="229" spans="7:25" ht="13.2"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S229" s="70"/>
      <c r="T229" s="70"/>
      <c r="U229" s="70"/>
      <c r="V229" s="70"/>
      <c r="W229" s="70"/>
      <c r="X229" s="70"/>
      <c r="Y229" s="70"/>
    </row>
    <row r="230" spans="7:25" ht="13.2"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S230" s="70"/>
      <c r="T230" s="70"/>
      <c r="U230" s="70"/>
      <c r="V230" s="70"/>
      <c r="W230" s="70"/>
      <c r="X230" s="70"/>
      <c r="Y230" s="70"/>
    </row>
    <row r="231" spans="7:25" ht="13.2"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S231" s="70"/>
      <c r="T231" s="70"/>
      <c r="U231" s="70"/>
      <c r="V231" s="70"/>
      <c r="W231" s="70"/>
      <c r="X231" s="70"/>
      <c r="Y231" s="70"/>
    </row>
    <row r="232" spans="7:25" ht="13.2"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S232" s="70"/>
      <c r="T232" s="70"/>
      <c r="U232" s="70"/>
      <c r="V232" s="70"/>
      <c r="W232" s="70"/>
      <c r="X232" s="70"/>
      <c r="Y232" s="70"/>
    </row>
    <row r="233" spans="7:25" ht="13.2"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S233" s="70"/>
      <c r="T233" s="70"/>
      <c r="U233" s="70"/>
      <c r="V233" s="70"/>
      <c r="W233" s="70"/>
      <c r="X233" s="70"/>
      <c r="Y233" s="70"/>
    </row>
    <row r="234" spans="7:25" ht="13.2"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S234" s="70"/>
      <c r="T234" s="70"/>
      <c r="U234" s="70"/>
      <c r="V234" s="70"/>
      <c r="W234" s="70"/>
      <c r="X234" s="70"/>
      <c r="Y234" s="70"/>
    </row>
    <row r="235" spans="7:25" ht="13.2"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S235" s="70"/>
      <c r="T235" s="70"/>
      <c r="U235" s="70"/>
      <c r="V235" s="70"/>
      <c r="W235" s="70"/>
      <c r="X235" s="70"/>
      <c r="Y235" s="70"/>
    </row>
    <row r="236" spans="7:25" ht="13.2"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S236" s="70"/>
      <c r="T236" s="70"/>
      <c r="U236" s="70"/>
      <c r="V236" s="70"/>
      <c r="W236" s="70"/>
      <c r="X236" s="70"/>
      <c r="Y236" s="70"/>
    </row>
    <row r="237" spans="7:25" ht="13.2"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S237" s="70"/>
      <c r="T237" s="70"/>
      <c r="U237" s="70"/>
      <c r="V237" s="70"/>
      <c r="W237" s="70"/>
      <c r="X237" s="70"/>
      <c r="Y237" s="70"/>
    </row>
    <row r="238" spans="7:25" ht="13.2"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S238" s="70"/>
      <c r="T238" s="70"/>
      <c r="U238" s="70"/>
      <c r="V238" s="70"/>
      <c r="W238" s="70"/>
      <c r="X238" s="70"/>
      <c r="Y238" s="70"/>
    </row>
    <row r="239" spans="7:25" ht="13.2"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S239" s="70"/>
      <c r="T239" s="70"/>
      <c r="U239" s="70"/>
      <c r="V239" s="70"/>
      <c r="W239" s="70"/>
      <c r="X239" s="70"/>
      <c r="Y239" s="70"/>
    </row>
    <row r="240" spans="7:25" ht="13.2"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S240" s="70"/>
      <c r="T240" s="70"/>
      <c r="U240" s="70"/>
      <c r="V240" s="70"/>
      <c r="W240" s="70"/>
      <c r="X240" s="70"/>
      <c r="Y240" s="70"/>
    </row>
    <row r="241" spans="7:25" ht="13.2"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S241" s="70"/>
      <c r="T241" s="70"/>
      <c r="U241" s="70"/>
      <c r="V241" s="70"/>
      <c r="W241" s="70"/>
      <c r="X241" s="70"/>
      <c r="Y241" s="70"/>
    </row>
    <row r="242" spans="7:25" ht="13.2"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S242" s="70"/>
      <c r="T242" s="70"/>
      <c r="U242" s="70"/>
      <c r="V242" s="70"/>
      <c r="W242" s="70"/>
      <c r="X242" s="70"/>
      <c r="Y242" s="70"/>
    </row>
    <row r="243" spans="7:25" ht="13.2"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S243" s="70"/>
      <c r="T243" s="70"/>
      <c r="U243" s="70"/>
      <c r="V243" s="70"/>
      <c r="W243" s="70"/>
      <c r="X243" s="70"/>
      <c r="Y243" s="70"/>
    </row>
    <row r="244" spans="7:25" ht="13.2"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S244" s="70"/>
      <c r="T244" s="70"/>
      <c r="U244" s="70"/>
      <c r="V244" s="70"/>
      <c r="W244" s="70"/>
      <c r="X244" s="70"/>
      <c r="Y244" s="70"/>
    </row>
    <row r="245" spans="7:25" ht="13.2"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S245" s="70"/>
      <c r="T245" s="70"/>
      <c r="U245" s="70"/>
      <c r="V245" s="70"/>
      <c r="W245" s="70"/>
      <c r="X245" s="70"/>
      <c r="Y245" s="70"/>
    </row>
    <row r="246" spans="7:25" ht="13.2"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S246" s="70"/>
      <c r="T246" s="70"/>
      <c r="U246" s="70"/>
      <c r="V246" s="70"/>
      <c r="W246" s="70"/>
      <c r="X246" s="70"/>
      <c r="Y246" s="70"/>
    </row>
    <row r="247" spans="7:25" ht="13.2"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S247" s="70"/>
      <c r="T247" s="70"/>
      <c r="U247" s="70"/>
      <c r="V247" s="70"/>
      <c r="W247" s="70"/>
      <c r="X247" s="70"/>
      <c r="Y247" s="70"/>
    </row>
    <row r="248" spans="7:25" ht="13.2"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S248" s="70"/>
      <c r="T248" s="70"/>
      <c r="U248" s="70"/>
      <c r="V248" s="70"/>
      <c r="W248" s="70"/>
      <c r="X248" s="70"/>
      <c r="Y248" s="70"/>
    </row>
    <row r="249" spans="7:25" ht="13.2"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S249" s="70"/>
      <c r="T249" s="70"/>
      <c r="U249" s="70"/>
      <c r="V249" s="70"/>
      <c r="W249" s="70"/>
      <c r="X249" s="70"/>
      <c r="Y249" s="70"/>
    </row>
    <row r="250" spans="7:25" ht="13.2"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S250" s="70"/>
      <c r="T250" s="70"/>
      <c r="U250" s="70"/>
      <c r="V250" s="70"/>
      <c r="W250" s="70"/>
      <c r="X250" s="70"/>
      <c r="Y250" s="70"/>
    </row>
    <row r="251" spans="7:25" ht="13.2"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S251" s="70"/>
      <c r="T251" s="70"/>
      <c r="U251" s="70"/>
      <c r="V251" s="70"/>
      <c r="W251" s="70"/>
      <c r="X251" s="70"/>
      <c r="Y251" s="70"/>
    </row>
    <row r="252" spans="7:25" ht="13.2"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S252" s="70"/>
      <c r="T252" s="70"/>
      <c r="U252" s="70"/>
      <c r="V252" s="70"/>
      <c r="W252" s="70"/>
      <c r="X252" s="70"/>
      <c r="Y252" s="70"/>
    </row>
    <row r="253" spans="7:25" ht="13.2"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S253" s="70"/>
      <c r="T253" s="70"/>
      <c r="U253" s="70"/>
      <c r="V253" s="70"/>
      <c r="W253" s="70"/>
      <c r="X253" s="70"/>
      <c r="Y253" s="70"/>
    </row>
    <row r="254" spans="7:25" ht="13.2"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S254" s="70"/>
      <c r="T254" s="70"/>
      <c r="U254" s="70"/>
      <c r="V254" s="70"/>
      <c r="W254" s="70"/>
      <c r="X254" s="70"/>
      <c r="Y254" s="70"/>
    </row>
    <row r="255" spans="7:25" ht="13.2"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S255" s="70"/>
      <c r="T255" s="70"/>
      <c r="U255" s="70"/>
      <c r="V255" s="70"/>
      <c r="W255" s="70"/>
      <c r="X255" s="70"/>
      <c r="Y255" s="70"/>
    </row>
    <row r="256" spans="7:25" ht="13.2"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S256" s="70"/>
      <c r="T256" s="70"/>
      <c r="U256" s="70"/>
      <c r="V256" s="70"/>
      <c r="W256" s="70"/>
      <c r="X256" s="70"/>
      <c r="Y256" s="70"/>
    </row>
    <row r="257" spans="7:25" ht="13.2"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S257" s="70"/>
      <c r="T257" s="70"/>
      <c r="U257" s="70"/>
      <c r="V257" s="70"/>
      <c r="W257" s="70"/>
      <c r="X257" s="70"/>
      <c r="Y257" s="70"/>
    </row>
    <row r="258" spans="7:25" ht="13.2"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S258" s="70"/>
      <c r="T258" s="70"/>
      <c r="U258" s="70"/>
      <c r="V258" s="70"/>
      <c r="W258" s="70"/>
      <c r="X258" s="70"/>
      <c r="Y258" s="70"/>
    </row>
    <row r="259" spans="7:25" ht="13.2"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S259" s="70"/>
      <c r="T259" s="70"/>
      <c r="U259" s="70"/>
      <c r="V259" s="70"/>
      <c r="W259" s="70"/>
      <c r="X259" s="70"/>
      <c r="Y259" s="70"/>
    </row>
    <row r="260" spans="7:25" ht="13.2"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S260" s="70"/>
      <c r="T260" s="70"/>
      <c r="U260" s="70"/>
      <c r="V260" s="70"/>
      <c r="W260" s="70"/>
      <c r="X260" s="70"/>
      <c r="Y260" s="70"/>
    </row>
    <row r="261" spans="7:25" ht="13.2"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S261" s="70"/>
      <c r="T261" s="70"/>
      <c r="U261" s="70"/>
      <c r="V261" s="70"/>
      <c r="W261" s="70"/>
      <c r="X261" s="70"/>
      <c r="Y261" s="70"/>
    </row>
    <row r="262" spans="7:25" ht="13.2"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S262" s="70"/>
      <c r="T262" s="70"/>
      <c r="U262" s="70"/>
      <c r="V262" s="70"/>
      <c r="W262" s="70"/>
      <c r="X262" s="70"/>
      <c r="Y262" s="70"/>
    </row>
    <row r="263" spans="7:25" ht="13.2"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S263" s="70"/>
      <c r="T263" s="70"/>
      <c r="U263" s="70"/>
      <c r="V263" s="70"/>
      <c r="W263" s="70"/>
      <c r="X263" s="70"/>
      <c r="Y263" s="70"/>
    </row>
    <row r="264" spans="7:25" ht="13.2"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S264" s="70"/>
      <c r="T264" s="70"/>
      <c r="U264" s="70"/>
      <c r="V264" s="70"/>
      <c r="W264" s="70"/>
      <c r="X264" s="70"/>
      <c r="Y264" s="70"/>
    </row>
    <row r="265" spans="7:25" ht="13.2"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S265" s="70"/>
      <c r="T265" s="70"/>
      <c r="U265" s="70"/>
      <c r="V265" s="70"/>
      <c r="W265" s="70"/>
      <c r="X265" s="70"/>
      <c r="Y265" s="70"/>
    </row>
    <row r="266" spans="7:25" ht="13.2"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S266" s="70"/>
      <c r="T266" s="70"/>
      <c r="U266" s="70"/>
      <c r="V266" s="70"/>
      <c r="W266" s="70"/>
      <c r="X266" s="70"/>
      <c r="Y266" s="70"/>
    </row>
    <row r="267" spans="7:25" ht="13.2"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S267" s="70"/>
      <c r="T267" s="70"/>
      <c r="U267" s="70"/>
      <c r="V267" s="70"/>
      <c r="W267" s="70"/>
      <c r="X267" s="70"/>
      <c r="Y267" s="70"/>
    </row>
    <row r="268" spans="7:25" ht="13.2"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S268" s="70"/>
      <c r="T268" s="70"/>
      <c r="U268" s="70"/>
      <c r="V268" s="70"/>
      <c r="W268" s="70"/>
      <c r="X268" s="70"/>
      <c r="Y268" s="70"/>
    </row>
    <row r="269" spans="7:25" ht="13.2"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S269" s="70"/>
      <c r="T269" s="70"/>
      <c r="U269" s="70"/>
      <c r="V269" s="70"/>
      <c r="W269" s="70"/>
      <c r="X269" s="70"/>
      <c r="Y269" s="70"/>
    </row>
    <row r="270" spans="7:25" ht="13.2"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S270" s="70"/>
      <c r="T270" s="70"/>
      <c r="U270" s="70"/>
      <c r="V270" s="70"/>
      <c r="W270" s="70"/>
      <c r="X270" s="70"/>
      <c r="Y270" s="70"/>
    </row>
    <row r="271" spans="7:25" ht="13.2"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S271" s="70"/>
      <c r="T271" s="70"/>
      <c r="U271" s="70"/>
      <c r="V271" s="70"/>
      <c r="W271" s="70"/>
      <c r="X271" s="70"/>
      <c r="Y271" s="70"/>
    </row>
    <row r="272" spans="7:25" ht="13.2"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S272" s="70"/>
      <c r="T272" s="70"/>
      <c r="U272" s="70"/>
      <c r="V272" s="70"/>
      <c r="W272" s="70"/>
      <c r="X272" s="70"/>
      <c r="Y272" s="70"/>
    </row>
    <row r="273" spans="7:25" ht="13.2"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S273" s="70"/>
      <c r="T273" s="70"/>
      <c r="U273" s="70"/>
      <c r="V273" s="70"/>
      <c r="W273" s="70"/>
      <c r="X273" s="70"/>
      <c r="Y273" s="70"/>
    </row>
    <row r="274" spans="7:25" ht="13.2"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S274" s="70"/>
      <c r="T274" s="70"/>
      <c r="U274" s="70"/>
      <c r="V274" s="70"/>
      <c r="W274" s="70"/>
      <c r="X274" s="70"/>
      <c r="Y274" s="70"/>
    </row>
    <row r="275" spans="7:25" ht="13.2"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S275" s="70"/>
      <c r="T275" s="70"/>
      <c r="U275" s="70"/>
      <c r="V275" s="70"/>
      <c r="W275" s="70"/>
      <c r="X275" s="70"/>
      <c r="Y275" s="70"/>
    </row>
    <row r="276" spans="7:25" ht="13.2"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S276" s="70"/>
      <c r="T276" s="70"/>
      <c r="U276" s="70"/>
      <c r="V276" s="70"/>
      <c r="W276" s="70"/>
      <c r="X276" s="70"/>
      <c r="Y276" s="70"/>
    </row>
    <row r="277" spans="7:25" ht="13.2"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S277" s="70"/>
      <c r="T277" s="70"/>
      <c r="U277" s="70"/>
      <c r="V277" s="70"/>
      <c r="W277" s="70"/>
      <c r="X277" s="70"/>
      <c r="Y277" s="70"/>
    </row>
    <row r="278" spans="7:25" ht="13.2"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S278" s="70"/>
      <c r="T278" s="70"/>
      <c r="U278" s="70"/>
      <c r="V278" s="70"/>
      <c r="W278" s="70"/>
      <c r="X278" s="70"/>
      <c r="Y278" s="70"/>
    </row>
    <row r="279" spans="7:25" ht="13.2"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S279" s="70"/>
      <c r="T279" s="70"/>
      <c r="U279" s="70"/>
      <c r="V279" s="70"/>
      <c r="W279" s="70"/>
      <c r="X279" s="70"/>
      <c r="Y279" s="70"/>
    </row>
    <row r="280" spans="7:25" ht="13.2"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S280" s="70"/>
      <c r="T280" s="70"/>
      <c r="U280" s="70"/>
      <c r="V280" s="70"/>
      <c r="W280" s="70"/>
      <c r="X280" s="70"/>
      <c r="Y280" s="70"/>
    </row>
    <row r="281" spans="7:25" ht="13.2"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S281" s="70"/>
      <c r="T281" s="70"/>
      <c r="U281" s="70"/>
      <c r="V281" s="70"/>
      <c r="W281" s="70"/>
      <c r="X281" s="70"/>
      <c r="Y281" s="70"/>
    </row>
    <row r="282" spans="7:25" ht="13.2"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S282" s="70"/>
      <c r="T282" s="70"/>
      <c r="U282" s="70"/>
      <c r="V282" s="70"/>
      <c r="W282" s="70"/>
      <c r="X282" s="70"/>
      <c r="Y282" s="70"/>
    </row>
    <row r="283" spans="7:25" ht="13.2"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S283" s="70"/>
      <c r="T283" s="70"/>
      <c r="U283" s="70"/>
      <c r="V283" s="70"/>
      <c r="W283" s="70"/>
      <c r="X283" s="70"/>
      <c r="Y283" s="70"/>
    </row>
    <row r="284" spans="7:25" ht="13.2"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S284" s="70"/>
      <c r="T284" s="70"/>
      <c r="U284" s="70"/>
      <c r="V284" s="70"/>
      <c r="W284" s="70"/>
      <c r="X284" s="70"/>
      <c r="Y284" s="70"/>
    </row>
    <row r="285" spans="7:25" ht="13.2"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S285" s="70"/>
      <c r="T285" s="70"/>
      <c r="U285" s="70"/>
      <c r="V285" s="70"/>
      <c r="W285" s="70"/>
      <c r="X285" s="70"/>
      <c r="Y285" s="70"/>
    </row>
    <row r="286" spans="7:25" ht="13.2"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S286" s="70"/>
      <c r="T286" s="70"/>
      <c r="U286" s="70"/>
      <c r="V286" s="70"/>
      <c r="W286" s="70"/>
      <c r="X286" s="70"/>
      <c r="Y286" s="70"/>
    </row>
    <row r="287" spans="7:25" ht="13.2"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S287" s="70"/>
      <c r="T287" s="70"/>
      <c r="U287" s="70"/>
      <c r="V287" s="70"/>
      <c r="W287" s="70"/>
      <c r="X287" s="70"/>
      <c r="Y287" s="70"/>
    </row>
    <row r="288" spans="7:25" ht="13.2"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S288" s="70"/>
      <c r="T288" s="70"/>
      <c r="U288" s="70"/>
      <c r="V288" s="70"/>
      <c r="W288" s="70"/>
      <c r="X288" s="70"/>
      <c r="Y288" s="70"/>
    </row>
    <row r="289" spans="7:25" ht="13.2"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S289" s="70"/>
      <c r="T289" s="70"/>
      <c r="U289" s="70"/>
      <c r="V289" s="70"/>
      <c r="W289" s="70"/>
      <c r="X289" s="70"/>
      <c r="Y289" s="70"/>
    </row>
    <row r="290" spans="7:25" ht="13.2"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S290" s="70"/>
      <c r="T290" s="70"/>
      <c r="U290" s="70"/>
      <c r="V290" s="70"/>
      <c r="W290" s="70"/>
      <c r="X290" s="70"/>
      <c r="Y290" s="70"/>
    </row>
    <row r="291" spans="7:25" ht="13.2"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S291" s="70"/>
      <c r="T291" s="70"/>
      <c r="U291" s="70"/>
      <c r="V291" s="70"/>
      <c r="W291" s="70"/>
      <c r="X291" s="70"/>
      <c r="Y291" s="70"/>
    </row>
    <row r="292" spans="7:25" ht="13.2"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S292" s="70"/>
      <c r="T292" s="70"/>
      <c r="U292" s="70"/>
      <c r="V292" s="70"/>
      <c r="W292" s="70"/>
      <c r="X292" s="70"/>
      <c r="Y292" s="70"/>
    </row>
    <row r="293" spans="7:25" ht="13.2"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S293" s="70"/>
      <c r="T293" s="70"/>
      <c r="U293" s="70"/>
      <c r="V293" s="70"/>
      <c r="W293" s="70"/>
      <c r="X293" s="70"/>
      <c r="Y293" s="70"/>
    </row>
    <row r="294" spans="7:25" ht="13.2"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S294" s="70"/>
      <c r="T294" s="70"/>
      <c r="U294" s="70"/>
      <c r="V294" s="70"/>
      <c r="W294" s="70"/>
      <c r="X294" s="70"/>
      <c r="Y294" s="70"/>
    </row>
    <row r="295" spans="7:25" ht="13.2"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S295" s="70"/>
      <c r="T295" s="70"/>
      <c r="U295" s="70"/>
      <c r="V295" s="70"/>
      <c r="W295" s="70"/>
      <c r="X295" s="70"/>
      <c r="Y295" s="70"/>
    </row>
    <row r="296" spans="7:25" ht="13.2"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S296" s="70"/>
      <c r="T296" s="70"/>
      <c r="U296" s="70"/>
      <c r="V296" s="70"/>
      <c r="W296" s="70"/>
      <c r="X296" s="70"/>
      <c r="Y296" s="70"/>
    </row>
    <row r="297" spans="7:25" ht="13.2"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S297" s="70"/>
      <c r="T297" s="70"/>
      <c r="U297" s="70"/>
      <c r="V297" s="70"/>
      <c r="W297" s="70"/>
      <c r="X297" s="70"/>
      <c r="Y297" s="70"/>
    </row>
    <row r="298" spans="7:25" ht="13.2"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S298" s="70"/>
      <c r="T298" s="70"/>
      <c r="U298" s="70"/>
      <c r="V298" s="70"/>
      <c r="W298" s="70"/>
      <c r="X298" s="70"/>
      <c r="Y298" s="70"/>
    </row>
    <row r="299" spans="7:25" ht="13.2"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S299" s="70"/>
      <c r="T299" s="70"/>
      <c r="U299" s="70"/>
      <c r="V299" s="70"/>
      <c r="W299" s="70"/>
      <c r="X299" s="70"/>
      <c r="Y299" s="70"/>
    </row>
    <row r="300" spans="7:25" ht="13.2"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S300" s="70"/>
      <c r="T300" s="70"/>
      <c r="U300" s="70"/>
      <c r="V300" s="70"/>
      <c r="W300" s="70"/>
      <c r="X300" s="70"/>
      <c r="Y300" s="70"/>
    </row>
    <row r="301" spans="7:25" ht="13.2"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S301" s="70"/>
      <c r="T301" s="70"/>
      <c r="U301" s="70"/>
      <c r="V301" s="70"/>
      <c r="W301" s="70"/>
      <c r="X301" s="70"/>
      <c r="Y301" s="70"/>
    </row>
    <row r="302" spans="7:25" ht="13.2"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S302" s="70"/>
      <c r="T302" s="70"/>
      <c r="U302" s="70"/>
      <c r="V302" s="70"/>
      <c r="W302" s="70"/>
      <c r="X302" s="70"/>
      <c r="Y302" s="70"/>
    </row>
    <row r="303" spans="7:25" ht="13.2"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S303" s="70"/>
      <c r="T303" s="70"/>
      <c r="U303" s="70"/>
      <c r="V303" s="70"/>
      <c r="W303" s="70"/>
      <c r="X303" s="70"/>
      <c r="Y303" s="70"/>
    </row>
    <row r="304" spans="7:25" ht="13.2"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S304" s="70"/>
      <c r="T304" s="70"/>
      <c r="U304" s="70"/>
      <c r="V304" s="70"/>
      <c r="W304" s="70"/>
      <c r="X304" s="70"/>
      <c r="Y304" s="70"/>
    </row>
    <row r="305" spans="7:25" ht="13.2"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S305" s="70"/>
      <c r="T305" s="70"/>
      <c r="U305" s="70"/>
      <c r="V305" s="70"/>
      <c r="W305" s="70"/>
      <c r="X305" s="70"/>
      <c r="Y305" s="70"/>
    </row>
    <row r="306" spans="7:25" ht="13.2"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S306" s="70"/>
      <c r="T306" s="70"/>
      <c r="U306" s="70"/>
      <c r="V306" s="70"/>
      <c r="W306" s="70"/>
      <c r="X306" s="70"/>
      <c r="Y306" s="70"/>
    </row>
    <row r="307" spans="7:25" ht="13.2"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S307" s="70"/>
      <c r="T307" s="70"/>
      <c r="U307" s="70"/>
      <c r="V307" s="70"/>
      <c r="W307" s="70"/>
      <c r="X307" s="70"/>
      <c r="Y307" s="70"/>
    </row>
    <row r="308" spans="7:25" ht="13.2"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S308" s="70"/>
      <c r="T308" s="70"/>
      <c r="U308" s="70"/>
      <c r="V308" s="70"/>
      <c r="W308" s="70"/>
      <c r="X308" s="70"/>
      <c r="Y308" s="70"/>
    </row>
    <row r="309" spans="7:25" ht="13.2"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S309" s="70"/>
      <c r="T309" s="70"/>
      <c r="U309" s="70"/>
      <c r="V309" s="70"/>
      <c r="W309" s="70"/>
      <c r="X309" s="70"/>
      <c r="Y309" s="70"/>
    </row>
    <row r="310" spans="7:25" ht="13.2"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S310" s="70"/>
      <c r="T310" s="70"/>
      <c r="U310" s="70"/>
      <c r="V310" s="70"/>
      <c r="W310" s="70"/>
      <c r="X310" s="70"/>
      <c r="Y310" s="70"/>
    </row>
    <row r="311" spans="7:25" ht="13.2"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S311" s="70"/>
      <c r="T311" s="70"/>
      <c r="U311" s="70"/>
      <c r="V311" s="70"/>
      <c r="W311" s="70"/>
      <c r="X311" s="70"/>
      <c r="Y311" s="70"/>
    </row>
    <row r="312" spans="7:25" ht="13.2"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S312" s="70"/>
      <c r="T312" s="70"/>
      <c r="U312" s="70"/>
      <c r="V312" s="70"/>
      <c r="W312" s="70"/>
      <c r="X312" s="70"/>
      <c r="Y312" s="70"/>
    </row>
    <row r="313" spans="7:25" ht="13.2"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S313" s="70"/>
      <c r="T313" s="70"/>
      <c r="U313" s="70"/>
      <c r="V313" s="70"/>
      <c r="W313" s="70"/>
      <c r="X313" s="70"/>
      <c r="Y313" s="70"/>
    </row>
    <row r="314" spans="7:25" ht="13.2"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S314" s="70"/>
      <c r="T314" s="70"/>
      <c r="U314" s="70"/>
      <c r="V314" s="70"/>
      <c r="W314" s="70"/>
      <c r="X314" s="70"/>
      <c r="Y314" s="70"/>
    </row>
    <row r="315" spans="7:25" ht="13.2"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S315" s="70"/>
      <c r="T315" s="70"/>
      <c r="U315" s="70"/>
      <c r="V315" s="70"/>
      <c r="W315" s="70"/>
      <c r="X315" s="70"/>
      <c r="Y315" s="70"/>
    </row>
    <row r="316" spans="7:25" ht="13.2"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S316" s="70"/>
      <c r="T316" s="70"/>
      <c r="U316" s="70"/>
      <c r="V316" s="70"/>
      <c r="W316" s="70"/>
      <c r="X316" s="70"/>
      <c r="Y316" s="70"/>
    </row>
    <row r="317" spans="7:25" ht="13.2"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S317" s="70"/>
      <c r="T317" s="70"/>
      <c r="U317" s="70"/>
      <c r="V317" s="70"/>
      <c r="W317" s="70"/>
      <c r="X317" s="70"/>
      <c r="Y317" s="70"/>
    </row>
    <row r="318" spans="7:25" ht="13.2"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S318" s="70"/>
      <c r="T318" s="70"/>
      <c r="U318" s="70"/>
      <c r="V318" s="70"/>
      <c r="W318" s="70"/>
      <c r="X318" s="70"/>
      <c r="Y318" s="70"/>
    </row>
    <row r="319" spans="7:25" ht="13.2"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S319" s="70"/>
      <c r="T319" s="70"/>
      <c r="U319" s="70"/>
      <c r="V319" s="70"/>
      <c r="W319" s="70"/>
      <c r="X319" s="70"/>
      <c r="Y319" s="70"/>
    </row>
    <row r="320" spans="7:25" ht="13.2"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S320" s="70"/>
      <c r="T320" s="70"/>
      <c r="U320" s="70"/>
      <c r="V320" s="70"/>
      <c r="W320" s="70"/>
      <c r="X320" s="70"/>
      <c r="Y320" s="70"/>
    </row>
    <row r="321" spans="7:25" ht="13.2"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S321" s="70"/>
      <c r="T321" s="70"/>
      <c r="U321" s="70"/>
      <c r="V321" s="70"/>
      <c r="W321" s="70"/>
      <c r="X321" s="70"/>
      <c r="Y321" s="70"/>
    </row>
    <row r="322" spans="7:25" ht="13.2"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S322" s="70"/>
      <c r="T322" s="70"/>
      <c r="U322" s="70"/>
      <c r="V322" s="70"/>
      <c r="W322" s="70"/>
      <c r="X322" s="70"/>
      <c r="Y322" s="70"/>
    </row>
    <row r="323" spans="7:25" ht="13.2"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S323" s="70"/>
      <c r="T323" s="70"/>
      <c r="U323" s="70"/>
      <c r="V323" s="70"/>
      <c r="W323" s="70"/>
      <c r="X323" s="70"/>
      <c r="Y323" s="70"/>
    </row>
    <row r="324" spans="7:25" ht="13.2"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S324" s="70"/>
      <c r="T324" s="70"/>
      <c r="U324" s="70"/>
      <c r="V324" s="70"/>
      <c r="W324" s="70"/>
      <c r="X324" s="70"/>
      <c r="Y324" s="70"/>
    </row>
    <row r="325" spans="7:25" ht="13.2"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S325" s="70"/>
      <c r="T325" s="70"/>
      <c r="U325" s="70"/>
      <c r="V325" s="70"/>
      <c r="W325" s="70"/>
      <c r="X325" s="70"/>
      <c r="Y325" s="70"/>
    </row>
    <row r="326" spans="7:25" ht="13.2"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S326" s="70"/>
      <c r="T326" s="70"/>
      <c r="U326" s="70"/>
      <c r="V326" s="70"/>
      <c r="W326" s="70"/>
      <c r="X326" s="70"/>
      <c r="Y326" s="70"/>
    </row>
    <row r="327" spans="7:25" ht="13.2"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S327" s="70"/>
      <c r="T327" s="70"/>
      <c r="U327" s="70"/>
      <c r="V327" s="70"/>
      <c r="W327" s="70"/>
      <c r="X327" s="70"/>
      <c r="Y327" s="70"/>
    </row>
    <row r="328" spans="7:25" ht="13.2"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S328" s="70"/>
      <c r="T328" s="70"/>
      <c r="U328" s="70"/>
      <c r="V328" s="70"/>
      <c r="W328" s="70"/>
      <c r="X328" s="70"/>
      <c r="Y328" s="70"/>
    </row>
    <row r="329" spans="7:25" ht="13.2"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S329" s="70"/>
      <c r="T329" s="70"/>
      <c r="U329" s="70"/>
      <c r="V329" s="70"/>
      <c r="W329" s="70"/>
      <c r="X329" s="70"/>
      <c r="Y329" s="70"/>
    </row>
    <row r="330" spans="7:25" ht="13.2"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S330" s="70"/>
      <c r="T330" s="70"/>
      <c r="U330" s="70"/>
      <c r="V330" s="70"/>
      <c r="W330" s="70"/>
      <c r="X330" s="70"/>
      <c r="Y330" s="70"/>
    </row>
    <row r="331" spans="7:25" ht="13.2"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S331" s="70"/>
      <c r="T331" s="70"/>
      <c r="U331" s="70"/>
      <c r="V331" s="70"/>
      <c r="W331" s="70"/>
      <c r="X331" s="70"/>
      <c r="Y331" s="70"/>
    </row>
    <row r="332" spans="7:25" ht="13.2"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S332" s="70"/>
      <c r="T332" s="70"/>
      <c r="U332" s="70"/>
      <c r="V332" s="70"/>
      <c r="W332" s="70"/>
      <c r="X332" s="70"/>
      <c r="Y332" s="70"/>
    </row>
    <row r="333" spans="7:25" ht="13.2"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S333" s="70"/>
      <c r="T333" s="70"/>
      <c r="U333" s="70"/>
      <c r="V333" s="70"/>
      <c r="W333" s="70"/>
      <c r="X333" s="70"/>
      <c r="Y333" s="70"/>
    </row>
    <row r="334" spans="7:25" ht="13.2"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S334" s="70"/>
      <c r="T334" s="70"/>
      <c r="U334" s="70"/>
      <c r="V334" s="70"/>
      <c r="W334" s="70"/>
      <c r="X334" s="70"/>
      <c r="Y334" s="70"/>
    </row>
    <row r="335" spans="7:25" ht="13.2"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S335" s="70"/>
      <c r="T335" s="70"/>
      <c r="U335" s="70"/>
      <c r="V335" s="70"/>
      <c r="W335" s="70"/>
      <c r="X335" s="70"/>
      <c r="Y335" s="70"/>
    </row>
    <row r="336" spans="7:25" ht="13.2"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S336" s="70"/>
      <c r="T336" s="70"/>
      <c r="U336" s="70"/>
      <c r="V336" s="70"/>
      <c r="W336" s="70"/>
      <c r="X336" s="70"/>
      <c r="Y336" s="70"/>
    </row>
    <row r="337" spans="7:25" ht="13.2"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S337" s="70"/>
      <c r="T337" s="70"/>
      <c r="U337" s="70"/>
      <c r="V337" s="70"/>
      <c r="W337" s="70"/>
      <c r="X337" s="70"/>
      <c r="Y337" s="70"/>
    </row>
    <row r="338" spans="7:25" ht="13.2"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S338" s="70"/>
      <c r="T338" s="70"/>
      <c r="U338" s="70"/>
      <c r="V338" s="70"/>
      <c r="W338" s="70"/>
      <c r="X338" s="70"/>
      <c r="Y338" s="70"/>
    </row>
    <row r="339" spans="7:25" ht="13.2"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S339" s="70"/>
      <c r="T339" s="70"/>
      <c r="U339" s="70"/>
      <c r="V339" s="70"/>
      <c r="W339" s="70"/>
      <c r="X339" s="70"/>
      <c r="Y339" s="70"/>
    </row>
    <row r="340" spans="7:25" ht="13.2"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S340" s="70"/>
      <c r="T340" s="70"/>
      <c r="U340" s="70"/>
      <c r="V340" s="70"/>
      <c r="W340" s="70"/>
      <c r="X340" s="70"/>
      <c r="Y340" s="70"/>
    </row>
    <row r="341" spans="7:25" ht="13.2"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S341" s="70"/>
      <c r="T341" s="70"/>
      <c r="U341" s="70"/>
      <c r="V341" s="70"/>
      <c r="W341" s="70"/>
      <c r="X341" s="70"/>
      <c r="Y341" s="70"/>
    </row>
    <row r="342" spans="7:25" ht="13.2"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S342" s="70"/>
      <c r="T342" s="70"/>
      <c r="U342" s="70"/>
      <c r="V342" s="70"/>
      <c r="W342" s="70"/>
      <c r="X342" s="70"/>
      <c r="Y342" s="70"/>
    </row>
    <row r="343" spans="7:25" ht="13.2"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S343" s="70"/>
      <c r="T343" s="70"/>
      <c r="U343" s="70"/>
      <c r="V343" s="70"/>
      <c r="W343" s="70"/>
      <c r="X343" s="70"/>
      <c r="Y343" s="70"/>
    </row>
    <row r="344" spans="7:25" ht="13.2"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S344" s="70"/>
      <c r="T344" s="70"/>
      <c r="U344" s="70"/>
      <c r="V344" s="70"/>
      <c r="W344" s="70"/>
      <c r="X344" s="70"/>
      <c r="Y344" s="70"/>
    </row>
    <row r="345" spans="7:25" ht="13.2"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S345" s="70"/>
      <c r="T345" s="70"/>
      <c r="U345" s="70"/>
      <c r="V345" s="70"/>
      <c r="W345" s="70"/>
      <c r="X345" s="70"/>
      <c r="Y345" s="70"/>
    </row>
    <row r="346" spans="7:25" ht="13.2"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S346" s="70"/>
      <c r="T346" s="70"/>
      <c r="U346" s="70"/>
      <c r="V346" s="70"/>
      <c r="W346" s="70"/>
      <c r="X346" s="70"/>
      <c r="Y346" s="70"/>
    </row>
    <row r="347" spans="7:25" ht="13.2"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S347" s="70"/>
      <c r="T347" s="70"/>
      <c r="U347" s="70"/>
      <c r="V347" s="70"/>
      <c r="W347" s="70"/>
      <c r="X347" s="70"/>
      <c r="Y347" s="70"/>
    </row>
    <row r="348" spans="7:25" ht="13.2"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S348" s="70"/>
      <c r="T348" s="70"/>
      <c r="U348" s="70"/>
      <c r="V348" s="70"/>
      <c r="W348" s="70"/>
      <c r="X348" s="70"/>
      <c r="Y348" s="70"/>
    </row>
    <row r="349" spans="7:25" ht="13.2"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S349" s="70"/>
      <c r="T349" s="70"/>
      <c r="U349" s="70"/>
      <c r="V349" s="70"/>
      <c r="W349" s="70"/>
      <c r="X349" s="70"/>
      <c r="Y349" s="70"/>
    </row>
    <row r="350" spans="7:25" ht="13.2"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S350" s="70"/>
      <c r="T350" s="70"/>
      <c r="U350" s="70"/>
      <c r="V350" s="70"/>
      <c r="W350" s="70"/>
      <c r="X350" s="70"/>
      <c r="Y350" s="70"/>
    </row>
    <row r="351" spans="7:25" ht="13.2"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S351" s="70"/>
      <c r="T351" s="70"/>
      <c r="U351" s="70"/>
      <c r="V351" s="70"/>
      <c r="W351" s="70"/>
      <c r="X351" s="70"/>
      <c r="Y351" s="70"/>
    </row>
    <row r="352" spans="7:25" ht="13.2"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S352" s="70"/>
      <c r="T352" s="70"/>
      <c r="U352" s="70"/>
      <c r="V352" s="70"/>
      <c r="W352" s="70"/>
      <c r="X352" s="70"/>
      <c r="Y352" s="70"/>
    </row>
    <row r="353" spans="7:25" ht="13.2"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S353" s="70"/>
      <c r="T353" s="70"/>
      <c r="U353" s="70"/>
      <c r="V353" s="70"/>
      <c r="W353" s="70"/>
      <c r="X353" s="70"/>
      <c r="Y353" s="70"/>
    </row>
    <row r="354" spans="7:25" ht="13.2"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S354" s="70"/>
      <c r="T354" s="70"/>
      <c r="U354" s="70"/>
      <c r="V354" s="70"/>
      <c r="W354" s="70"/>
      <c r="X354" s="70"/>
      <c r="Y354" s="70"/>
    </row>
    <row r="355" spans="7:25" ht="13.2"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S355" s="70"/>
      <c r="T355" s="70"/>
      <c r="U355" s="70"/>
      <c r="V355" s="70"/>
      <c r="W355" s="70"/>
      <c r="X355" s="70"/>
      <c r="Y355" s="70"/>
    </row>
    <row r="356" spans="7:25" ht="13.2"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S356" s="70"/>
      <c r="T356" s="70"/>
      <c r="U356" s="70"/>
      <c r="V356" s="70"/>
      <c r="W356" s="70"/>
      <c r="X356" s="70"/>
      <c r="Y356" s="70"/>
    </row>
    <row r="357" spans="7:25" ht="13.2"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S357" s="70"/>
      <c r="T357" s="70"/>
      <c r="U357" s="70"/>
      <c r="V357" s="70"/>
      <c r="W357" s="70"/>
      <c r="X357" s="70"/>
      <c r="Y357" s="70"/>
    </row>
    <row r="358" spans="7:25" ht="13.2"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S358" s="70"/>
      <c r="T358" s="70"/>
      <c r="U358" s="70"/>
      <c r="V358" s="70"/>
      <c r="W358" s="70"/>
      <c r="X358" s="70"/>
      <c r="Y358" s="70"/>
    </row>
    <row r="359" spans="7:25" ht="13.2"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S359" s="70"/>
      <c r="T359" s="70"/>
      <c r="U359" s="70"/>
      <c r="V359" s="70"/>
      <c r="W359" s="70"/>
      <c r="X359" s="70"/>
      <c r="Y359" s="70"/>
    </row>
    <row r="360" spans="7:25" ht="13.2"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S360" s="70"/>
      <c r="T360" s="70"/>
      <c r="U360" s="70"/>
      <c r="V360" s="70"/>
      <c r="W360" s="70"/>
      <c r="X360" s="70"/>
      <c r="Y360" s="70"/>
    </row>
    <row r="361" spans="7:25" ht="13.2"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S361" s="70"/>
      <c r="T361" s="70"/>
      <c r="U361" s="70"/>
      <c r="V361" s="70"/>
      <c r="W361" s="70"/>
      <c r="X361" s="70"/>
      <c r="Y361" s="70"/>
    </row>
    <row r="362" spans="7:25" ht="13.2"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S362" s="70"/>
      <c r="T362" s="70"/>
      <c r="U362" s="70"/>
      <c r="V362" s="70"/>
      <c r="W362" s="70"/>
      <c r="X362" s="70"/>
      <c r="Y362" s="70"/>
    </row>
    <row r="363" spans="7:25" ht="13.2"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S363" s="70"/>
      <c r="T363" s="70"/>
      <c r="U363" s="70"/>
      <c r="V363" s="70"/>
      <c r="W363" s="70"/>
      <c r="X363" s="70"/>
      <c r="Y363" s="70"/>
    </row>
    <row r="364" spans="7:25" ht="13.2"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S364" s="70"/>
      <c r="T364" s="70"/>
      <c r="U364" s="70"/>
      <c r="V364" s="70"/>
      <c r="W364" s="70"/>
      <c r="X364" s="70"/>
      <c r="Y364" s="70"/>
    </row>
    <row r="365" spans="7:25" ht="13.2"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S365" s="70"/>
      <c r="T365" s="70"/>
      <c r="U365" s="70"/>
      <c r="V365" s="70"/>
      <c r="W365" s="70"/>
      <c r="X365" s="70"/>
      <c r="Y365" s="70"/>
    </row>
    <row r="366" spans="7:25" ht="13.2"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S366" s="70"/>
      <c r="T366" s="70"/>
      <c r="U366" s="70"/>
      <c r="V366" s="70"/>
      <c r="W366" s="70"/>
      <c r="X366" s="70"/>
      <c r="Y366" s="70"/>
    </row>
    <row r="367" spans="7:25" ht="13.2"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S367" s="70"/>
      <c r="T367" s="70"/>
      <c r="U367" s="70"/>
      <c r="V367" s="70"/>
      <c r="W367" s="70"/>
      <c r="X367" s="70"/>
      <c r="Y367" s="70"/>
    </row>
    <row r="368" spans="7:25" ht="13.2"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S368" s="70"/>
      <c r="T368" s="70"/>
      <c r="U368" s="70"/>
      <c r="V368" s="70"/>
      <c r="W368" s="70"/>
      <c r="X368" s="70"/>
      <c r="Y368" s="70"/>
    </row>
    <row r="369" spans="7:25" ht="13.2"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S369" s="70"/>
      <c r="T369" s="70"/>
      <c r="U369" s="70"/>
      <c r="V369" s="70"/>
      <c r="W369" s="70"/>
      <c r="X369" s="70"/>
      <c r="Y369" s="70"/>
    </row>
    <row r="370" spans="7:25" ht="13.2"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S370" s="70"/>
      <c r="T370" s="70"/>
      <c r="U370" s="70"/>
      <c r="V370" s="70"/>
      <c r="W370" s="70"/>
      <c r="X370" s="70"/>
      <c r="Y370" s="70"/>
    </row>
    <row r="371" spans="7:25" ht="13.2"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S371" s="70"/>
      <c r="T371" s="70"/>
      <c r="U371" s="70"/>
      <c r="V371" s="70"/>
      <c r="W371" s="70"/>
      <c r="X371" s="70"/>
      <c r="Y371" s="70"/>
    </row>
    <row r="372" spans="7:25" ht="13.2"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S372" s="70"/>
      <c r="T372" s="70"/>
      <c r="U372" s="70"/>
      <c r="V372" s="70"/>
      <c r="W372" s="70"/>
      <c r="X372" s="70"/>
      <c r="Y372" s="70"/>
    </row>
    <row r="373" spans="7:25" ht="13.2"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S373" s="70"/>
      <c r="T373" s="70"/>
      <c r="U373" s="70"/>
      <c r="V373" s="70"/>
      <c r="W373" s="70"/>
      <c r="X373" s="70"/>
      <c r="Y373" s="70"/>
    </row>
    <row r="374" spans="7:25" ht="13.2"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S374" s="70"/>
      <c r="T374" s="70"/>
      <c r="U374" s="70"/>
      <c r="V374" s="70"/>
      <c r="W374" s="70"/>
      <c r="X374" s="70"/>
      <c r="Y374" s="70"/>
    </row>
    <row r="375" spans="7:25" ht="13.2"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S375" s="70"/>
      <c r="T375" s="70"/>
      <c r="U375" s="70"/>
      <c r="V375" s="70"/>
      <c r="W375" s="70"/>
      <c r="X375" s="70"/>
      <c r="Y375" s="70"/>
    </row>
    <row r="376" spans="7:25" ht="13.2"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S376" s="70"/>
      <c r="T376" s="70"/>
      <c r="U376" s="70"/>
      <c r="V376" s="70"/>
      <c r="W376" s="70"/>
      <c r="X376" s="70"/>
      <c r="Y376" s="70"/>
    </row>
    <row r="377" spans="7:25" ht="13.2"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S377" s="70"/>
      <c r="T377" s="70"/>
      <c r="U377" s="70"/>
      <c r="V377" s="70"/>
      <c r="W377" s="70"/>
      <c r="X377" s="70"/>
      <c r="Y377" s="70"/>
    </row>
    <row r="378" spans="7:25" ht="13.2"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S378" s="70"/>
      <c r="T378" s="70"/>
      <c r="U378" s="70"/>
      <c r="V378" s="70"/>
      <c r="W378" s="70"/>
      <c r="X378" s="70"/>
      <c r="Y378" s="70"/>
    </row>
    <row r="379" spans="7:25" ht="13.2"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S379" s="70"/>
      <c r="T379" s="70"/>
      <c r="U379" s="70"/>
      <c r="V379" s="70"/>
      <c r="W379" s="70"/>
      <c r="X379" s="70"/>
      <c r="Y379" s="70"/>
    </row>
    <row r="380" spans="7:25" ht="13.2"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S380" s="70"/>
      <c r="T380" s="70"/>
      <c r="U380" s="70"/>
      <c r="V380" s="70"/>
      <c r="W380" s="70"/>
      <c r="X380" s="70"/>
      <c r="Y380" s="70"/>
    </row>
    <row r="381" spans="7:25" ht="13.2"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S381" s="70"/>
      <c r="T381" s="70"/>
      <c r="U381" s="70"/>
      <c r="V381" s="70"/>
      <c r="W381" s="70"/>
      <c r="X381" s="70"/>
      <c r="Y381" s="70"/>
    </row>
    <row r="382" spans="7:25" ht="13.2"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S382" s="70"/>
      <c r="T382" s="70"/>
      <c r="U382" s="70"/>
      <c r="V382" s="70"/>
      <c r="W382" s="70"/>
      <c r="X382" s="70"/>
      <c r="Y382" s="70"/>
    </row>
    <row r="383" spans="7:25" ht="13.2"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S383" s="70"/>
      <c r="T383" s="70"/>
      <c r="U383" s="70"/>
      <c r="V383" s="70"/>
      <c r="W383" s="70"/>
      <c r="X383" s="70"/>
      <c r="Y383" s="70"/>
    </row>
    <row r="384" spans="7:25" ht="13.2"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S384" s="70"/>
      <c r="T384" s="70"/>
      <c r="U384" s="70"/>
      <c r="V384" s="70"/>
      <c r="W384" s="70"/>
      <c r="X384" s="70"/>
      <c r="Y384" s="70"/>
    </row>
    <row r="385" spans="7:25" ht="13.2"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S385" s="70"/>
      <c r="T385" s="70"/>
      <c r="U385" s="70"/>
      <c r="V385" s="70"/>
      <c r="W385" s="70"/>
      <c r="X385" s="70"/>
      <c r="Y385" s="70"/>
    </row>
    <row r="386" spans="7:25" ht="13.2"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S386" s="70"/>
      <c r="T386" s="70"/>
      <c r="U386" s="70"/>
      <c r="V386" s="70"/>
      <c r="W386" s="70"/>
      <c r="X386" s="70"/>
      <c r="Y386" s="70"/>
    </row>
    <row r="387" spans="7:25" ht="13.2"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S387" s="70"/>
      <c r="T387" s="70"/>
      <c r="U387" s="70"/>
      <c r="V387" s="70"/>
      <c r="W387" s="70"/>
      <c r="X387" s="70"/>
      <c r="Y387" s="70"/>
    </row>
    <row r="388" spans="7:25" ht="13.2"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S388" s="70"/>
      <c r="T388" s="70"/>
      <c r="U388" s="70"/>
      <c r="V388" s="70"/>
      <c r="W388" s="70"/>
      <c r="X388" s="70"/>
      <c r="Y388" s="70"/>
    </row>
    <row r="389" spans="7:25" ht="13.2"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S389" s="70"/>
      <c r="T389" s="70"/>
      <c r="U389" s="70"/>
      <c r="V389" s="70"/>
      <c r="W389" s="70"/>
      <c r="X389" s="70"/>
      <c r="Y389" s="70"/>
    </row>
    <row r="390" spans="7:25" ht="13.2"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S390" s="70"/>
      <c r="T390" s="70"/>
      <c r="U390" s="70"/>
      <c r="V390" s="70"/>
      <c r="W390" s="70"/>
      <c r="X390" s="70"/>
      <c r="Y390" s="70"/>
    </row>
    <row r="391" spans="7:25" ht="13.2"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S391" s="70"/>
      <c r="T391" s="70"/>
      <c r="U391" s="70"/>
      <c r="V391" s="70"/>
      <c r="W391" s="70"/>
      <c r="X391" s="70"/>
      <c r="Y391" s="70"/>
    </row>
    <row r="392" spans="7:25" ht="13.2"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S392" s="70"/>
      <c r="T392" s="70"/>
      <c r="U392" s="70"/>
      <c r="V392" s="70"/>
      <c r="W392" s="70"/>
      <c r="X392" s="70"/>
      <c r="Y392" s="70"/>
    </row>
    <row r="393" spans="7:25" ht="13.2"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S393" s="70"/>
      <c r="T393" s="70"/>
      <c r="U393" s="70"/>
      <c r="V393" s="70"/>
      <c r="W393" s="70"/>
      <c r="X393" s="70"/>
      <c r="Y393" s="70"/>
    </row>
    <row r="394" spans="7:25" ht="13.2"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S394" s="70"/>
      <c r="T394" s="70"/>
      <c r="U394" s="70"/>
      <c r="V394" s="70"/>
      <c r="W394" s="70"/>
      <c r="X394" s="70"/>
      <c r="Y394" s="70"/>
    </row>
    <row r="395" spans="7:25" ht="13.2"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S395" s="70"/>
      <c r="T395" s="70"/>
      <c r="U395" s="70"/>
      <c r="V395" s="70"/>
      <c r="W395" s="70"/>
      <c r="X395" s="70"/>
      <c r="Y395" s="70"/>
    </row>
    <row r="396" spans="7:25" ht="13.2"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S396" s="70"/>
      <c r="T396" s="70"/>
      <c r="U396" s="70"/>
      <c r="V396" s="70"/>
      <c r="W396" s="70"/>
      <c r="X396" s="70"/>
      <c r="Y396" s="70"/>
    </row>
    <row r="397" spans="7:25" ht="13.2"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S397" s="70"/>
      <c r="T397" s="70"/>
      <c r="U397" s="70"/>
      <c r="V397" s="70"/>
      <c r="W397" s="70"/>
      <c r="X397" s="70"/>
      <c r="Y397" s="70"/>
    </row>
    <row r="398" spans="7:25" ht="13.2"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S398" s="70"/>
      <c r="T398" s="70"/>
      <c r="U398" s="70"/>
      <c r="V398" s="70"/>
      <c r="W398" s="70"/>
      <c r="X398" s="70"/>
      <c r="Y398" s="70"/>
    </row>
    <row r="399" spans="7:25" ht="13.2"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S399" s="70"/>
      <c r="T399" s="70"/>
      <c r="U399" s="70"/>
      <c r="V399" s="70"/>
      <c r="W399" s="70"/>
      <c r="X399" s="70"/>
      <c r="Y399" s="70"/>
    </row>
    <row r="400" spans="7:25" ht="13.2"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S400" s="70"/>
      <c r="T400" s="70"/>
      <c r="U400" s="70"/>
      <c r="V400" s="70"/>
      <c r="W400" s="70"/>
      <c r="X400" s="70"/>
      <c r="Y400" s="70"/>
    </row>
    <row r="401" spans="7:25" ht="13.2"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S401" s="70"/>
      <c r="T401" s="70"/>
      <c r="U401" s="70"/>
      <c r="V401" s="70"/>
      <c r="W401" s="70"/>
      <c r="X401" s="70"/>
      <c r="Y401" s="70"/>
    </row>
    <row r="402" spans="7:25" ht="13.2"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S402" s="70"/>
      <c r="T402" s="70"/>
      <c r="U402" s="70"/>
      <c r="V402" s="70"/>
      <c r="W402" s="70"/>
      <c r="X402" s="70"/>
      <c r="Y402" s="70"/>
    </row>
    <row r="403" spans="7:25" ht="13.2"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S403" s="70"/>
      <c r="T403" s="70"/>
      <c r="U403" s="70"/>
      <c r="V403" s="70"/>
      <c r="W403" s="70"/>
      <c r="X403" s="70"/>
      <c r="Y403" s="70"/>
    </row>
    <row r="404" spans="7:25" ht="13.2"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S404" s="70"/>
      <c r="T404" s="70"/>
      <c r="U404" s="70"/>
      <c r="V404" s="70"/>
      <c r="W404" s="70"/>
      <c r="X404" s="70"/>
      <c r="Y404" s="70"/>
    </row>
    <row r="405" spans="7:25" ht="13.2"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S405" s="70"/>
      <c r="T405" s="70"/>
      <c r="U405" s="70"/>
      <c r="V405" s="70"/>
      <c r="W405" s="70"/>
      <c r="X405" s="70"/>
      <c r="Y405" s="70"/>
    </row>
    <row r="406" spans="7:25" ht="13.2"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S406" s="70"/>
      <c r="T406" s="70"/>
      <c r="U406" s="70"/>
      <c r="V406" s="70"/>
      <c r="W406" s="70"/>
      <c r="X406" s="70"/>
      <c r="Y406" s="70"/>
    </row>
    <row r="407" spans="7:25" ht="13.2"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S407" s="70"/>
      <c r="T407" s="70"/>
      <c r="U407" s="70"/>
      <c r="V407" s="70"/>
      <c r="W407" s="70"/>
      <c r="X407" s="70"/>
      <c r="Y407" s="70"/>
    </row>
    <row r="408" spans="7:25" ht="13.2"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S408" s="70"/>
      <c r="T408" s="70"/>
      <c r="U408" s="70"/>
      <c r="V408" s="70"/>
      <c r="W408" s="70"/>
      <c r="X408" s="70"/>
      <c r="Y408" s="70"/>
    </row>
    <row r="409" spans="7:25" ht="13.2"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S409" s="70"/>
      <c r="T409" s="70"/>
      <c r="U409" s="70"/>
      <c r="V409" s="70"/>
      <c r="W409" s="70"/>
      <c r="X409" s="70"/>
      <c r="Y409" s="70"/>
    </row>
    <row r="410" spans="7:25" ht="13.2"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S410" s="70"/>
      <c r="T410" s="70"/>
      <c r="U410" s="70"/>
      <c r="V410" s="70"/>
      <c r="W410" s="70"/>
      <c r="X410" s="70"/>
      <c r="Y410" s="70"/>
    </row>
    <row r="411" spans="7:25" ht="13.2"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S411" s="70"/>
      <c r="T411" s="70"/>
      <c r="U411" s="70"/>
      <c r="V411" s="70"/>
      <c r="W411" s="70"/>
      <c r="X411" s="70"/>
      <c r="Y411" s="70"/>
    </row>
    <row r="412" spans="7:25" ht="13.2"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S412" s="70"/>
      <c r="T412" s="70"/>
      <c r="U412" s="70"/>
      <c r="V412" s="70"/>
      <c r="W412" s="70"/>
      <c r="X412" s="70"/>
      <c r="Y412" s="70"/>
    </row>
    <row r="413" spans="7:25" ht="13.2"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S413" s="70"/>
      <c r="T413" s="70"/>
      <c r="U413" s="70"/>
      <c r="V413" s="70"/>
      <c r="W413" s="70"/>
      <c r="X413" s="70"/>
      <c r="Y413" s="70"/>
    </row>
    <row r="414" spans="7:25" ht="13.2"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S414" s="70"/>
      <c r="T414" s="70"/>
      <c r="U414" s="70"/>
      <c r="V414" s="70"/>
      <c r="W414" s="70"/>
      <c r="X414" s="70"/>
      <c r="Y414" s="70"/>
    </row>
    <row r="415" spans="7:25" ht="13.2"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S415" s="70"/>
      <c r="T415" s="70"/>
      <c r="U415" s="70"/>
      <c r="V415" s="70"/>
      <c r="W415" s="70"/>
      <c r="X415" s="70"/>
      <c r="Y415" s="70"/>
    </row>
    <row r="416" spans="7:25" ht="13.2"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S416" s="70"/>
      <c r="T416" s="70"/>
      <c r="U416" s="70"/>
      <c r="V416" s="70"/>
      <c r="W416" s="70"/>
      <c r="X416" s="70"/>
      <c r="Y416" s="70"/>
    </row>
    <row r="417" spans="7:25" ht="13.2"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S417" s="70"/>
      <c r="T417" s="70"/>
      <c r="U417" s="70"/>
      <c r="V417" s="70"/>
      <c r="W417" s="70"/>
      <c r="X417" s="70"/>
      <c r="Y417" s="70"/>
    </row>
    <row r="418" spans="7:25" ht="13.2"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S418" s="70"/>
      <c r="T418" s="70"/>
      <c r="U418" s="70"/>
      <c r="V418" s="70"/>
      <c r="W418" s="70"/>
      <c r="X418" s="70"/>
      <c r="Y418" s="70"/>
    </row>
    <row r="419" spans="7:25" ht="13.2"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S419" s="70"/>
      <c r="T419" s="70"/>
      <c r="U419" s="70"/>
      <c r="V419" s="70"/>
      <c r="W419" s="70"/>
      <c r="X419" s="70"/>
      <c r="Y419" s="70"/>
    </row>
    <row r="420" spans="7:25" ht="13.2"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S420" s="70"/>
      <c r="T420" s="70"/>
      <c r="U420" s="70"/>
      <c r="V420" s="70"/>
      <c r="W420" s="70"/>
      <c r="X420" s="70"/>
      <c r="Y420" s="70"/>
    </row>
    <row r="421" spans="7:25" ht="13.2"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S421" s="70"/>
      <c r="T421" s="70"/>
      <c r="U421" s="70"/>
      <c r="V421" s="70"/>
      <c r="W421" s="70"/>
      <c r="X421" s="70"/>
      <c r="Y421" s="70"/>
    </row>
    <row r="422" spans="7:25" ht="13.2"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S422" s="70"/>
      <c r="T422" s="70"/>
      <c r="U422" s="70"/>
      <c r="V422" s="70"/>
      <c r="W422" s="70"/>
      <c r="X422" s="70"/>
      <c r="Y422" s="70"/>
    </row>
    <row r="423" spans="7:25" ht="13.2"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S423" s="70"/>
      <c r="T423" s="70"/>
      <c r="U423" s="70"/>
      <c r="V423" s="70"/>
      <c r="W423" s="70"/>
      <c r="X423" s="70"/>
      <c r="Y423" s="70"/>
    </row>
    <row r="424" spans="7:25" ht="13.2"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S424" s="70"/>
      <c r="T424" s="70"/>
      <c r="U424" s="70"/>
      <c r="V424" s="70"/>
      <c r="W424" s="70"/>
      <c r="X424" s="70"/>
      <c r="Y424" s="70"/>
    </row>
    <row r="425" spans="7:25" ht="13.2"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S425" s="70"/>
      <c r="T425" s="70"/>
      <c r="U425" s="70"/>
      <c r="V425" s="70"/>
      <c r="W425" s="70"/>
      <c r="X425" s="70"/>
      <c r="Y425" s="70"/>
    </row>
    <row r="426" spans="7:25" ht="13.2"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S426" s="70"/>
      <c r="T426" s="70"/>
      <c r="U426" s="70"/>
      <c r="V426" s="70"/>
      <c r="W426" s="70"/>
      <c r="X426" s="70"/>
      <c r="Y426" s="70"/>
    </row>
    <row r="427" spans="7:25" ht="13.2"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S427" s="70"/>
      <c r="T427" s="70"/>
      <c r="U427" s="70"/>
      <c r="V427" s="70"/>
      <c r="W427" s="70"/>
      <c r="X427" s="70"/>
      <c r="Y427" s="70"/>
    </row>
    <row r="428" spans="7:25" ht="13.2"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S428" s="70"/>
      <c r="T428" s="70"/>
      <c r="U428" s="70"/>
      <c r="V428" s="70"/>
      <c r="W428" s="70"/>
      <c r="X428" s="70"/>
      <c r="Y428" s="70"/>
    </row>
    <row r="429" spans="7:25" ht="13.2"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S429" s="70"/>
      <c r="T429" s="70"/>
      <c r="U429" s="70"/>
      <c r="V429" s="70"/>
      <c r="W429" s="70"/>
      <c r="X429" s="70"/>
      <c r="Y429" s="70"/>
    </row>
    <row r="430" spans="7:25" ht="13.2"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S430" s="70"/>
      <c r="T430" s="70"/>
      <c r="U430" s="70"/>
      <c r="V430" s="70"/>
      <c r="W430" s="70"/>
      <c r="X430" s="70"/>
      <c r="Y430" s="70"/>
    </row>
    <row r="431" spans="7:25" ht="13.2"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S431" s="70"/>
      <c r="T431" s="70"/>
      <c r="U431" s="70"/>
      <c r="V431" s="70"/>
      <c r="W431" s="70"/>
      <c r="X431" s="70"/>
      <c r="Y431" s="70"/>
    </row>
    <row r="432" spans="7:25" ht="13.2"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S432" s="70"/>
      <c r="T432" s="70"/>
      <c r="U432" s="70"/>
      <c r="V432" s="70"/>
      <c r="W432" s="70"/>
      <c r="X432" s="70"/>
      <c r="Y432" s="70"/>
    </row>
    <row r="433" spans="7:25" ht="13.2"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S433" s="70"/>
      <c r="T433" s="70"/>
      <c r="U433" s="70"/>
      <c r="V433" s="70"/>
      <c r="W433" s="70"/>
      <c r="X433" s="70"/>
      <c r="Y433" s="70"/>
    </row>
    <row r="434" spans="7:25" ht="13.2"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S434" s="70"/>
      <c r="T434" s="70"/>
      <c r="U434" s="70"/>
      <c r="V434" s="70"/>
      <c r="W434" s="70"/>
      <c r="X434" s="70"/>
      <c r="Y434" s="70"/>
    </row>
    <row r="435" spans="7:25" ht="13.2"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S435" s="70"/>
      <c r="T435" s="70"/>
      <c r="U435" s="70"/>
      <c r="V435" s="70"/>
      <c r="W435" s="70"/>
      <c r="X435" s="70"/>
      <c r="Y435" s="70"/>
    </row>
    <row r="436" spans="7:25" ht="13.2"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S436" s="70"/>
      <c r="T436" s="70"/>
      <c r="U436" s="70"/>
      <c r="V436" s="70"/>
      <c r="W436" s="70"/>
      <c r="X436" s="70"/>
      <c r="Y436" s="70"/>
    </row>
    <row r="437" spans="7:25" ht="13.2"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S437" s="70"/>
      <c r="T437" s="70"/>
      <c r="U437" s="70"/>
      <c r="V437" s="70"/>
      <c r="W437" s="70"/>
      <c r="X437" s="70"/>
      <c r="Y437" s="70"/>
    </row>
    <row r="438" spans="7:25" ht="13.2"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S438" s="70"/>
      <c r="T438" s="70"/>
      <c r="U438" s="70"/>
      <c r="V438" s="70"/>
      <c r="W438" s="70"/>
      <c r="X438" s="70"/>
      <c r="Y438" s="70"/>
    </row>
    <row r="439" spans="7:25" ht="13.2"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S439" s="70"/>
      <c r="T439" s="70"/>
      <c r="U439" s="70"/>
      <c r="V439" s="70"/>
      <c r="W439" s="70"/>
      <c r="X439" s="70"/>
      <c r="Y439" s="70"/>
    </row>
    <row r="440" spans="7:25" ht="13.2"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S440" s="70"/>
      <c r="T440" s="70"/>
      <c r="U440" s="70"/>
      <c r="V440" s="70"/>
      <c r="W440" s="70"/>
      <c r="X440" s="70"/>
      <c r="Y440" s="70"/>
    </row>
    <row r="441" spans="7:25" ht="13.2"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S441" s="70"/>
      <c r="T441" s="70"/>
      <c r="U441" s="70"/>
      <c r="V441" s="70"/>
      <c r="W441" s="70"/>
      <c r="X441" s="70"/>
      <c r="Y441" s="70"/>
    </row>
    <row r="442" spans="7:25" ht="13.2"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S442" s="70"/>
      <c r="T442" s="70"/>
      <c r="U442" s="70"/>
      <c r="V442" s="70"/>
      <c r="W442" s="70"/>
      <c r="X442" s="70"/>
      <c r="Y442" s="70"/>
    </row>
    <row r="443" spans="7:25" ht="13.2"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S443" s="70"/>
      <c r="T443" s="70"/>
      <c r="U443" s="70"/>
      <c r="V443" s="70"/>
      <c r="W443" s="70"/>
      <c r="X443" s="70"/>
      <c r="Y443" s="70"/>
    </row>
    <row r="444" spans="7:25" ht="13.2"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S444" s="70"/>
      <c r="T444" s="70"/>
      <c r="U444" s="70"/>
      <c r="V444" s="70"/>
      <c r="W444" s="70"/>
      <c r="X444" s="70"/>
      <c r="Y444" s="70"/>
    </row>
    <row r="445" spans="7:25" ht="13.2"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S445" s="70"/>
      <c r="T445" s="70"/>
      <c r="U445" s="70"/>
      <c r="V445" s="70"/>
      <c r="W445" s="70"/>
      <c r="X445" s="70"/>
      <c r="Y445" s="70"/>
    </row>
    <row r="446" spans="7:25" ht="13.2"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S446" s="70"/>
      <c r="T446" s="70"/>
      <c r="U446" s="70"/>
      <c r="V446" s="70"/>
      <c r="W446" s="70"/>
      <c r="X446" s="70"/>
      <c r="Y446" s="70"/>
    </row>
    <row r="447" spans="7:25" ht="13.2"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S447" s="70"/>
      <c r="T447" s="70"/>
      <c r="U447" s="70"/>
      <c r="V447" s="70"/>
      <c r="W447" s="70"/>
      <c r="X447" s="70"/>
      <c r="Y447" s="70"/>
    </row>
    <row r="448" spans="7:25" ht="13.2"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S448" s="70"/>
      <c r="T448" s="70"/>
      <c r="U448" s="70"/>
      <c r="V448" s="70"/>
      <c r="W448" s="70"/>
      <c r="X448" s="70"/>
      <c r="Y448" s="70"/>
    </row>
    <row r="449" spans="7:25" ht="13.2"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S449" s="70"/>
      <c r="T449" s="70"/>
      <c r="U449" s="70"/>
      <c r="V449" s="70"/>
      <c r="W449" s="70"/>
      <c r="X449" s="70"/>
      <c r="Y449" s="70"/>
    </row>
    <row r="450" spans="7:25" ht="13.2"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S450" s="70"/>
      <c r="T450" s="70"/>
      <c r="U450" s="70"/>
      <c r="V450" s="70"/>
      <c r="W450" s="70"/>
      <c r="X450" s="70"/>
      <c r="Y450" s="70"/>
    </row>
    <row r="451" spans="7:25" ht="13.2"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S451" s="70"/>
      <c r="T451" s="70"/>
      <c r="U451" s="70"/>
      <c r="V451" s="70"/>
      <c r="W451" s="70"/>
      <c r="X451" s="70"/>
      <c r="Y451" s="70"/>
    </row>
    <row r="452" spans="7:25" ht="13.2"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S452" s="70"/>
      <c r="T452" s="70"/>
      <c r="U452" s="70"/>
      <c r="V452" s="70"/>
      <c r="W452" s="70"/>
      <c r="X452" s="70"/>
      <c r="Y452" s="70"/>
    </row>
    <row r="453" spans="7:25" ht="13.2"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S453" s="70"/>
      <c r="T453" s="70"/>
      <c r="U453" s="70"/>
      <c r="V453" s="70"/>
      <c r="W453" s="70"/>
      <c r="X453" s="70"/>
      <c r="Y453" s="70"/>
    </row>
    <row r="454" spans="7:25" ht="13.2"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S454" s="70"/>
      <c r="T454" s="70"/>
      <c r="U454" s="70"/>
      <c r="V454" s="70"/>
      <c r="W454" s="70"/>
      <c r="X454" s="70"/>
      <c r="Y454" s="70"/>
    </row>
    <row r="455" spans="7:25" ht="13.2"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S455" s="70"/>
      <c r="T455" s="70"/>
      <c r="U455" s="70"/>
      <c r="V455" s="70"/>
      <c r="W455" s="70"/>
      <c r="X455" s="70"/>
      <c r="Y455" s="70"/>
    </row>
    <row r="456" spans="7:25" ht="13.2"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S456" s="70"/>
      <c r="T456" s="70"/>
      <c r="U456" s="70"/>
      <c r="V456" s="70"/>
      <c r="W456" s="70"/>
      <c r="X456" s="70"/>
      <c r="Y456" s="70"/>
    </row>
    <row r="457" spans="7:25" ht="13.2"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S457" s="70"/>
      <c r="T457" s="70"/>
      <c r="U457" s="70"/>
      <c r="V457" s="70"/>
      <c r="W457" s="70"/>
      <c r="X457" s="70"/>
      <c r="Y457" s="70"/>
    </row>
    <row r="458" spans="7:25" ht="13.2"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S458" s="70"/>
      <c r="T458" s="70"/>
      <c r="U458" s="70"/>
      <c r="V458" s="70"/>
      <c r="W458" s="70"/>
      <c r="X458" s="70"/>
      <c r="Y458" s="70"/>
    </row>
    <row r="459" spans="7:25" ht="13.2"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S459" s="70"/>
      <c r="T459" s="70"/>
      <c r="U459" s="70"/>
      <c r="V459" s="70"/>
      <c r="W459" s="70"/>
      <c r="X459" s="70"/>
      <c r="Y459" s="70"/>
    </row>
    <row r="460" spans="7:25" ht="13.2"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S460" s="70"/>
      <c r="T460" s="70"/>
      <c r="U460" s="70"/>
      <c r="V460" s="70"/>
      <c r="W460" s="70"/>
      <c r="X460" s="70"/>
      <c r="Y460" s="70"/>
    </row>
    <row r="461" spans="7:25" ht="13.2"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S461" s="70"/>
      <c r="T461" s="70"/>
      <c r="U461" s="70"/>
      <c r="V461" s="70"/>
      <c r="W461" s="70"/>
      <c r="X461" s="70"/>
      <c r="Y461" s="70"/>
    </row>
    <row r="462" spans="7:25" ht="13.2"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S462" s="70"/>
      <c r="T462" s="70"/>
      <c r="U462" s="70"/>
      <c r="V462" s="70"/>
      <c r="W462" s="70"/>
      <c r="X462" s="70"/>
      <c r="Y462" s="70"/>
    </row>
    <row r="463" spans="7:25" ht="13.2"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S463" s="70"/>
      <c r="T463" s="70"/>
      <c r="U463" s="70"/>
      <c r="V463" s="70"/>
      <c r="W463" s="70"/>
      <c r="X463" s="70"/>
      <c r="Y463" s="70"/>
    </row>
    <row r="464" spans="7:25" ht="13.2"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S464" s="70"/>
      <c r="T464" s="70"/>
      <c r="U464" s="70"/>
      <c r="V464" s="70"/>
      <c r="W464" s="70"/>
      <c r="X464" s="70"/>
      <c r="Y464" s="70"/>
    </row>
    <row r="465" spans="7:25" ht="13.2"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S465" s="70"/>
      <c r="T465" s="70"/>
      <c r="U465" s="70"/>
      <c r="V465" s="70"/>
      <c r="W465" s="70"/>
      <c r="X465" s="70"/>
      <c r="Y465" s="70"/>
    </row>
    <row r="466" spans="7:25" ht="13.2"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S466" s="70"/>
      <c r="T466" s="70"/>
      <c r="U466" s="70"/>
      <c r="V466" s="70"/>
      <c r="W466" s="70"/>
      <c r="X466" s="70"/>
      <c r="Y466" s="70"/>
    </row>
    <row r="467" spans="7:25" ht="13.2"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S467" s="70"/>
      <c r="T467" s="70"/>
      <c r="U467" s="70"/>
      <c r="V467" s="70"/>
      <c r="W467" s="70"/>
      <c r="X467" s="70"/>
      <c r="Y467" s="70"/>
    </row>
    <row r="468" spans="7:25" ht="13.2"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S468" s="70"/>
      <c r="T468" s="70"/>
      <c r="U468" s="70"/>
      <c r="V468" s="70"/>
      <c r="W468" s="70"/>
      <c r="X468" s="70"/>
      <c r="Y468" s="70"/>
    </row>
    <row r="469" spans="7:25" ht="13.2"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S469" s="70"/>
      <c r="T469" s="70"/>
      <c r="U469" s="70"/>
      <c r="V469" s="70"/>
      <c r="W469" s="70"/>
      <c r="X469" s="70"/>
      <c r="Y469" s="70"/>
    </row>
    <row r="470" spans="7:25" ht="13.2"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S470" s="70"/>
      <c r="T470" s="70"/>
      <c r="U470" s="70"/>
      <c r="V470" s="70"/>
      <c r="W470" s="70"/>
      <c r="X470" s="70"/>
      <c r="Y470" s="70"/>
    </row>
    <row r="471" spans="7:25" ht="13.2"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S471" s="70"/>
      <c r="T471" s="70"/>
      <c r="U471" s="70"/>
      <c r="V471" s="70"/>
      <c r="W471" s="70"/>
      <c r="X471" s="70"/>
      <c r="Y471" s="70"/>
    </row>
    <row r="472" spans="7:25" ht="13.2"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S472" s="70"/>
      <c r="T472" s="70"/>
      <c r="U472" s="70"/>
      <c r="V472" s="70"/>
      <c r="W472" s="70"/>
      <c r="X472" s="70"/>
      <c r="Y472" s="70"/>
    </row>
    <row r="473" spans="7:25" ht="13.2"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S473" s="70"/>
      <c r="T473" s="70"/>
      <c r="U473" s="70"/>
      <c r="V473" s="70"/>
      <c r="W473" s="70"/>
      <c r="X473" s="70"/>
      <c r="Y473" s="70"/>
    </row>
    <row r="474" spans="7:25" ht="13.2"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S474" s="70"/>
      <c r="T474" s="70"/>
      <c r="U474" s="70"/>
      <c r="V474" s="70"/>
      <c r="W474" s="70"/>
      <c r="X474" s="70"/>
      <c r="Y474" s="70"/>
    </row>
    <row r="475" spans="7:25" ht="13.2"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S475" s="70"/>
      <c r="T475" s="70"/>
      <c r="U475" s="70"/>
      <c r="V475" s="70"/>
      <c r="W475" s="70"/>
      <c r="X475" s="70"/>
      <c r="Y475" s="70"/>
    </row>
    <row r="476" spans="7:25" ht="13.2"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S476" s="70"/>
      <c r="T476" s="70"/>
      <c r="U476" s="70"/>
      <c r="V476" s="70"/>
      <c r="W476" s="70"/>
      <c r="X476" s="70"/>
      <c r="Y476" s="70"/>
    </row>
    <row r="477" spans="7:25" ht="13.2"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S477" s="70"/>
      <c r="T477" s="70"/>
      <c r="U477" s="70"/>
      <c r="V477" s="70"/>
      <c r="W477" s="70"/>
      <c r="X477" s="70"/>
      <c r="Y477" s="70"/>
    </row>
    <row r="478" spans="7:25" ht="13.2"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S478" s="70"/>
      <c r="T478" s="70"/>
      <c r="U478" s="70"/>
      <c r="V478" s="70"/>
      <c r="W478" s="70"/>
      <c r="X478" s="70"/>
      <c r="Y478" s="70"/>
    </row>
    <row r="479" spans="7:25" ht="13.2"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S479" s="70"/>
      <c r="T479" s="70"/>
      <c r="U479" s="70"/>
      <c r="V479" s="70"/>
      <c r="W479" s="70"/>
      <c r="X479" s="70"/>
      <c r="Y479" s="70"/>
    </row>
    <row r="480" spans="7:25" ht="13.2"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S480" s="70"/>
      <c r="T480" s="70"/>
      <c r="U480" s="70"/>
      <c r="V480" s="70"/>
      <c r="W480" s="70"/>
      <c r="X480" s="70"/>
      <c r="Y480" s="70"/>
    </row>
    <row r="481" spans="7:25" ht="13.2"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S481" s="70"/>
      <c r="T481" s="70"/>
      <c r="U481" s="70"/>
      <c r="V481" s="70"/>
      <c r="W481" s="70"/>
      <c r="X481" s="70"/>
      <c r="Y481" s="70"/>
    </row>
    <row r="482" spans="7:25" ht="13.2"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S482" s="70"/>
      <c r="T482" s="70"/>
      <c r="U482" s="70"/>
      <c r="V482" s="70"/>
      <c r="W482" s="70"/>
      <c r="X482" s="70"/>
      <c r="Y482" s="70"/>
    </row>
    <row r="483" spans="7:25" ht="13.2"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S483" s="70"/>
      <c r="T483" s="70"/>
      <c r="U483" s="70"/>
      <c r="V483" s="70"/>
      <c r="W483" s="70"/>
      <c r="X483" s="70"/>
      <c r="Y483" s="70"/>
    </row>
    <row r="484" spans="7:25" ht="13.2"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S484" s="70"/>
      <c r="T484" s="70"/>
      <c r="U484" s="70"/>
      <c r="V484" s="70"/>
      <c r="W484" s="70"/>
      <c r="X484" s="70"/>
      <c r="Y484" s="70"/>
    </row>
    <row r="485" spans="7:25" ht="13.2"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S485" s="70"/>
      <c r="T485" s="70"/>
      <c r="U485" s="70"/>
      <c r="V485" s="70"/>
      <c r="W485" s="70"/>
      <c r="X485" s="70"/>
      <c r="Y485" s="70"/>
    </row>
    <row r="486" spans="7:25" ht="13.2"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S486" s="70"/>
      <c r="T486" s="70"/>
      <c r="U486" s="70"/>
      <c r="V486" s="70"/>
      <c r="W486" s="70"/>
      <c r="X486" s="70"/>
      <c r="Y486" s="70"/>
    </row>
    <row r="487" spans="7:25" ht="13.2"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S487" s="70"/>
      <c r="T487" s="70"/>
      <c r="U487" s="70"/>
      <c r="V487" s="70"/>
      <c r="W487" s="70"/>
      <c r="X487" s="70"/>
      <c r="Y487" s="70"/>
    </row>
    <row r="488" spans="7:25" ht="13.2"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S488" s="70"/>
      <c r="T488" s="70"/>
      <c r="U488" s="70"/>
      <c r="V488" s="70"/>
      <c r="W488" s="70"/>
      <c r="X488" s="70"/>
      <c r="Y488" s="70"/>
    </row>
    <row r="489" spans="7:25" ht="13.2"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S489" s="70"/>
      <c r="T489" s="70"/>
      <c r="U489" s="70"/>
      <c r="V489" s="70"/>
      <c r="W489" s="70"/>
      <c r="X489" s="70"/>
      <c r="Y489" s="70"/>
    </row>
    <row r="490" spans="7:25" ht="13.2"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S490" s="70"/>
      <c r="T490" s="70"/>
      <c r="U490" s="70"/>
      <c r="V490" s="70"/>
      <c r="W490" s="70"/>
      <c r="X490" s="70"/>
      <c r="Y490" s="70"/>
    </row>
    <row r="491" spans="7:25" ht="13.2"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S491" s="70"/>
      <c r="T491" s="70"/>
      <c r="U491" s="70"/>
      <c r="V491" s="70"/>
      <c r="W491" s="70"/>
      <c r="X491" s="70"/>
      <c r="Y491" s="70"/>
    </row>
    <row r="492" spans="7:25" ht="13.2"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S492" s="70"/>
      <c r="T492" s="70"/>
      <c r="U492" s="70"/>
      <c r="V492" s="70"/>
      <c r="W492" s="70"/>
      <c r="X492" s="70"/>
      <c r="Y492" s="70"/>
    </row>
    <row r="493" spans="7:25" ht="13.2"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S493" s="70"/>
      <c r="T493" s="70"/>
      <c r="U493" s="70"/>
      <c r="V493" s="70"/>
      <c r="W493" s="70"/>
      <c r="X493" s="70"/>
      <c r="Y493" s="70"/>
    </row>
    <row r="494" spans="7:25" ht="13.2"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S494" s="70"/>
      <c r="T494" s="70"/>
      <c r="U494" s="70"/>
      <c r="V494" s="70"/>
      <c r="W494" s="70"/>
      <c r="X494" s="70"/>
      <c r="Y494" s="70"/>
    </row>
    <row r="495" spans="7:25" ht="13.2"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S495" s="70"/>
      <c r="T495" s="70"/>
      <c r="U495" s="70"/>
      <c r="V495" s="70"/>
      <c r="W495" s="70"/>
      <c r="X495" s="70"/>
      <c r="Y495" s="70"/>
    </row>
    <row r="496" spans="7:25" ht="13.2"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S496" s="70"/>
      <c r="T496" s="70"/>
      <c r="U496" s="70"/>
      <c r="V496" s="70"/>
      <c r="W496" s="70"/>
      <c r="X496" s="70"/>
      <c r="Y496" s="70"/>
    </row>
    <row r="497" spans="7:25" ht="13.2"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S497" s="70"/>
      <c r="T497" s="70"/>
      <c r="U497" s="70"/>
      <c r="V497" s="70"/>
      <c r="W497" s="70"/>
      <c r="X497" s="70"/>
      <c r="Y497" s="70"/>
    </row>
    <row r="498" spans="7:25" ht="13.2"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S498" s="70"/>
      <c r="T498" s="70"/>
      <c r="U498" s="70"/>
      <c r="V498" s="70"/>
      <c r="W498" s="70"/>
      <c r="X498" s="70"/>
      <c r="Y498" s="70"/>
    </row>
    <row r="499" spans="7:25" ht="13.2"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S499" s="70"/>
      <c r="T499" s="70"/>
      <c r="U499" s="70"/>
      <c r="V499" s="70"/>
      <c r="W499" s="70"/>
      <c r="X499" s="70"/>
      <c r="Y499" s="70"/>
    </row>
    <row r="500" spans="7:25" ht="13.2"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S500" s="70"/>
      <c r="T500" s="70"/>
      <c r="U500" s="70"/>
      <c r="V500" s="70"/>
      <c r="W500" s="70"/>
      <c r="X500" s="70"/>
      <c r="Y500" s="70"/>
    </row>
    <row r="501" spans="7:25" ht="13.2"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S501" s="70"/>
      <c r="T501" s="70"/>
      <c r="U501" s="70"/>
      <c r="V501" s="70"/>
      <c r="W501" s="70"/>
      <c r="X501" s="70"/>
      <c r="Y501" s="70"/>
    </row>
    <row r="502" spans="7:25" ht="13.2"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S502" s="70"/>
      <c r="T502" s="70"/>
      <c r="U502" s="70"/>
      <c r="V502" s="70"/>
      <c r="W502" s="70"/>
      <c r="X502" s="70"/>
      <c r="Y502" s="70"/>
    </row>
    <row r="503" spans="7:25" ht="13.2"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S503" s="70"/>
      <c r="T503" s="70"/>
      <c r="U503" s="70"/>
      <c r="V503" s="70"/>
      <c r="W503" s="70"/>
      <c r="X503" s="70"/>
      <c r="Y503" s="70"/>
    </row>
    <row r="504" spans="7:25" ht="13.2"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S504" s="70"/>
      <c r="T504" s="70"/>
      <c r="U504" s="70"/>
      <c r="V504" s="70"/>
      <c r="W504" s="70"/>
      <c r="X504" s="70"/>
      <c r="Y504" s="70"/>
    </row>
    <row r="505" spans="7:25" ht="13.2"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S505" s="70"/>
      <c r="T505" s="70"/>
      <c r="U505" s="70"/>
      <c r="V505" s="70"/>
      <c r="W505" s="70"/>
      <c r="X505" s="70"/>
      <c r="Y505" s="70"/>
    </row>
    <row r="506" spans="7:25" ht="13.2"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S506" s="70"/>
      <c r="T506" s="70"/>
      <c r="U506" s="70"/>
      <c r="V506" s="70"/>
      <c r="W506" s="70"/>
      <c r="X506" s="70"/>
      <c r="Y506" s="70"/>
    </row>
    <row r="507" spans="7:25" ht="13.2"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S507" s="70"/>
      <c r="T507" s="70"/>
      <c r="U507" s="70"/>
      <c r="V507" s="70"/>
      <c r="W507" s="70"/>
      <c r="X507" s="70"/>
      <c r="Y507" s="70"/>
    </row>
    <row r="508" spans="7:25" ht="13.2"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S508" s="70"/>
      <c r="T508" s="70"/>
      <c r="U508" s="70"/>
      <c r="V508" s="70"/>
      <c r="W508" s="70"/>
      <c r="X508" s="70"/>
      <c r="Y508" s="70"/>
    </row>
    <row r="509" spans="7:25" ht="13.2"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S509" s="70"/>
      <c r="T509" s="70"/>
      <c r="U509" s="70"/>
      <c r="V509" s="70"/>
      <c r="W509" s="70"/>
      <c r="X509" s="70"/>
      <c r="Y509" s="70"/>
    </row>
    <row r="510" spans="7:25" ht="13.2"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S510" s="70"/>
      <c r="T510" s="70"/>
      <c r="U510" s="70"/>
      <c r="V510" s="70"/>
      <c r="W510" s="70"/>
      <c r="X510" s="70"/>
      <c r="Y510" s="70"/>
    </row>
    <row r="511" spans="7:25" ht="13.2"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S511" s="70"/>
      <c r="T511" s="70"/>
      <c r="U511" s="70"/>
      <c r="V511" s="70"/>
      <c r="W511" s="70"/>
      <c r="X511" s="70"/>
      <c r="Y511" s="70"/>
    </row>
    <row r="512" spans="7:25" ht="13.2"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S512" s="70"/>
      <c r="T512" s="70"/>
      <c r="U512" s="70"/>
      <c r="V512" s="70"/>
      <c r="W512" s="70"/>
      <c r="X512" s="70"/>
      <c r="Y512" s="70"/>
    </row>
    <row r="513" spans="7:25" ht="13.2"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S513" s="70"/>
      <c r="T513" s="70"/>
      <c r="U513" s="70"/>
      <c r="V513" s="70"/>
      <c r="W513" s="70"/>
      <c r="X513" s="70"/>
      <c r="Y513" s="70"/>
    </row>
    <row r="514" spans="7:25" ht="13.2"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S514" s="70"/>
      <c r="T514" s="70"/>
      <c r="U514" s="70"/>
      <c r="V514" s="70"/>
      <c r="W514" s="70"/>
      <c r="X514" s="70"/>
      <c r="Y514" s="70"/>
    </row>
    <row r="515" spans="7:25" ht="13.2"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S515" s="70"/>
      <c r="T515" s="70"/>
      <c r="U515" s="70"/>
      <c r="V515" s="70"/>
      <c r="W515" s="70"/>
      <c r="X515" s="70"/>
      <c r="Y515" s="70"/>
    </row>
    <row r="516" spans="7:25" ht="13.2"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S516" s="70"/>
      <c r="T516" s="70"/>
      <c r="U516" s="70"/>
      <c r="V516" s="70"/>
      <c r="W516" s="70"/>
      <c r="X516" s="70"/>
      <c r="Y516" s="70"/>
    </row>
    <row r="517" spans="7:25" ht="13.2"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S517" s="70"/>
      <c r="T517" s="70"/>
      <c r="U517" s="70"/>
      <c r="V517" s="70"/>
      <c r="W517" s="70"/>
      <c r="X517" s="70"/>
      <c r="Y517" s="70"/>
    </row>
    <row r="518" spans="7:25" ht="13.2"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S518" s="70"/>
      <c r="T518" s="70"/>
      <c r="U518" s="70"/>
      <c r="V518" s="70"/>
      <c r="W518" s="70"/>
      <c r="X518" s="70"/>
      <c r="Y518" s="70"/>
    </row>
    <row r="519" spans="7:25" ht="13.2"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S519" s="70"/>
      <c r="T519" s="70"/>
      <c r="U519" s="70"/>
      <c r="V519" s="70"/>
      <c r="W519" s="70"/>
      <c r="X519" s="70"/>
      <c r="Y519" s="70"/>
    </row>
    <row r="520" spans="7:25" ht="13.2"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S520" s="70"/>
      <c r="T520" s="70"/>
      <c r="U520" s="70"/>
      <c r="V520" s="70"/>
      <c r="W520" s="70"/>
      <c r="X520" s="70"/>
      <c r="Y520" s="70"/>
    </row>
    <row r="521" spans="7:25" ht="13.2"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S521" s="70"/>
      <c r="T521" s="70"/>
      <c r="U521" s="70"/>
      <c r="V521" s="70"/>
      <c r="W521" s="70"/>
      <c r="X521" s="70"/>
      <c r="Y521" s="70"/>
    </row>
    <row r="522" spans="7:25" ht="13.2"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S522" s="70"/>
      <c r="T522" s="70"/>
      <c r="U522" s="70"/>
      <c r="V522" s="70"/>
      <c r="W522" s="70"/>
      <c r="X522" s="70"/>
      <c r="Y522" s="70"/>
    </row>
    <row r="523" spans="7:25" ht="13.2"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S523" s="70"/>
      <c r="T523" s="70"/>
      <c r="U523" s="70"/>
      <c r="V523" s="70"/>
      <c r="W523" s="70"/>
      <c r="X523" s="70"/>
      <c r="Y523" s="70"/>
    </row>
    <row r="524" spans="7:25" ht="13.2"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S524" s="70"/>
      <c r="T524" s="70"/>
      <c r="U524" s="70"/>
      <c r="V524" s="70"/>
      <c r="W524" s="70"/>
      <c r="X524" s="70"/>
      <c r="Y524" s="70"/>
    </row>
    <row r="525" spans="7:25" ht="13.2"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S525" s="70"/>
      <c r="T525" s="70"/>
      <c r="U525" s="70"/>
      <c r="V525" s="70"/>
      <c r="W525" s="70"/>
      <c r="X525" s="70"/>
      <c r="Y525" s="70"/>
    </row>
    <row r="526" spans="7:25" ht="13.2"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S526" s="70"/>
      <c r="T526" s="70"/>
      <c r="U526" s="70"/>
      <c r="V526" s="70"/>
      <c r="W526" s="70"/>
      <c r="X526" s="70"/>
      <c r="Y526" s="70"/>
    </row>
    <row r="527" spans="7:25" ht="13.2"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S527" s="70"/>
      <c r="T527" s="70"/>
      <c r="U527" s="70"/>
      <c r="V527" s="70"/>
      <c r="W527" s="70"/>
      <c r="X527" s="70"/>
      <c r="Y527" s="70"/>
    </row>
    <row r="528" spans="7:25" ht="13.2"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S528" s="70"/>
      <c r="T528" s="70"/>
      <c r="U528" s="70"/>
      <c r="V528" s="70"/>
      <c r="W528" s="70"/>
      <c r="X528" s="70"/>
      <c r="Y528" s="70"/>
    </row>
    <row r="529" spans="7:25" ht="13.2"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S529" s="70"/>
      <c r="T529" s="70"/>
      <c r="U529" s="70"/>
      <c r="V529" s="70"/>
      <c r="W529" s="70"/>
      <c r="X529" s="70"/>
      <c r="Y529" s="70"/>
    </row>
    <row r="530" spans="7:25" ht="13.2"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S530" s="70"/>
      <c r="T530" s="70"/>
      <c r="U530" s="70"/>
      <c r="V530" s="70"/>
      <c r="W530" s="70"/>
      <c r="X530" s="70"/>
      <c r="Y530" s="70"/>
    </row>
    <row r="531" spans="7:25" ht="13.2"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S531" s="70"/>
      <c r="T531" s="70"/>
      <c r="U531" s="70"/>
      <c r="V531" s="70"/>
      <c r="W531" s="70"/>
      <c r="X531" s="70"/>
      <c r="Y531" s="70"/>
    </row>
    <row r="532" spans="7:25" ht="13.2"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S532" s="70"/>
      <c r="T532" s="70"/>
      <c r="U532" s="70"/>
      <c r="V532" s="70"/>
      <c r="W532" s="70"/>
      <c r="X532" s="70"/>
      <c r="Y532" s="70"/>
    </row>
    <row r="533" spans="7:25" ht="13.2"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S533" s="70"/>
      <c r="T533" s="70"/>
      <c r="U533" s="70"/>
      <c r="V533" s="70"/>
      <c r="W533" s="70"/>
      <c r="X533" s="70"/>
      <c r="Y533" s="70"/>
    </row>
    <row r="534" spans="7:25" ht="13.2"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S534" s="70"/>
      <c r="T534" s="70"/>
      <c r="U534" s="70"/>
      <c r="V534" s="70"/>
      <c r="W534" s="70"/>
      <c r="X534" s="70"/>
      <c r="Y534" s="70"/>
    </row>
    <row r="535" spans="7:25" ht="13.2"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S535" s="70"/>
      <c r="T535" s="70"/>
      <c r="U535" s="70"/>
      <c r="V535" s="70"/>
      <c r="W535" s="70"/>
      <c r="X535" s="70"/>
      <c r="Y535" s="70"/>
    </row>
    <row r="536" spans="7:25" ht="13.2"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S536" s="70"/>
      <c r="T536" s="70"/>
      <c r="U536" s="70"/>
      <c r="V536" s="70"/>
      <c r="W536" s="70"/>
      <c r="X536" s="70"/>
      <c r="Y536" s="70"/>
    </row>
    <row r="537" spans="7:25" ht="13.2"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S537" s="70"/>
      <c r="T537" s="70"/>
      <c r="U537" s="70"/>
      <c r="V537" s="70"/>
      <c r="W537" s="70"/>
      <c r="X537" s="70"/>
      <c r="Y537" s="70"/>
    </row>
    <row r="538" spans="7:25" ht="13.2"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S538" s="70"/>
      <c r="T538" s="70"/>
      <c r="U538" s="70"/>
      <c r="V538" s="70"/>
      <c r="W538" s="70"/>
      <c r="X538" s="70"/>
      <c r="Y538" s="70"/>
    </row>
    <row r="539" spans="7:25" ht="13.2"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S539" s="70"/>
      <c r="T539" s="70"/>
      <c r="U539" s="70"/>
      <c r="V539" s="70"/>
      <c r="W539" s="70"/>
      <c r="X539" s="70"/>
      <c r="Y539" s="70"/>
    </row>
    <row r="540" spans="7:25" ht="13.2"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S540" s="70"/>
      <c r="T540" s="70"/>
      <c r="U540" s="70"/>
      <c r="V540" s="70"/>
      <c r="W540" s="70"/>
      <c r="X540" s="70"/>
      <c r="Y540" s="70"/>
    </row>
    <row r="541" spans="7:25" ht="13.2"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S541" s="70"/>
      <c r="T541" s="70"/>
      <c r="U541" s="70"/>
      <c r="V541" s="70"/>
      <c r="W541" s="70"/>
      <c r="X541" s="70"/>
      <c r="Y541" s="70"/>
    </row>
    <row r="542" spans="7:25" ht="13.2"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S542" s="70"/>
      <c r="T542" s="70"/>
      <c r="U542" s="70"/>
      <c r="V542" s="70"/>
      <c r="W542" s="70"/>
      <c r="X542" s="70"/>
      <c r="Y542" s="70"/>
    </row>
    <row r="543" spans="7:25" ht="13.2"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S543" s="70"/>
      <c r="T543" s="70"/>
      <c r="U543" s="70"/>
      <c r="V543" s="70"/>
      <c r="W543" s="70"/>
      <c r="X543" s="70"/>
      <c r="Y543" s="70"/>
    </row>
    <row r="544" spans="7:25" ht="13.2"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S544" s="70"/>
      <c r="T544" s="70"/>
      <c r="U544" s="70"/>
      <c r="V544" s="70"/>
      <c r="W544" s="70"/>
      <c r="X544" s="70"/>
      <c r="Y544" s="70"/>
    </row>
    <row r="545" spans="7:25" ht="13.2"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S545" s="70"/>
      <c r="T545" s="70"/>
      <c r="U545" s="70"/>
      <c r="V545" s="70"/>
      <c r="W545" s="70"/>
      <c r="X545" s="70"/>
      <c r="Y545" s="70"/>
    </row>
    <row r="546" spans="7:25" ht="13.2"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S546" s="70"/>
      <c r="T546" s="70"/>
      <c r="U546" s="70"/>
      <c r="V546" s="70"/>
      <c r="W546" s="70"/>
      <c r="X546" s="70"/>
      <c r="Y546" s="70"/>
    </row>
    <row r="547" spans="7:25" ht="13.2"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S547" s="70"/>
      <c r="T547" s="70"/>
      <c r="U547" s="70"/>
      <c r="V547" s="70"/>
      <c r="W547" s="70"/>
      <c r="X547" s="70"/>
      <c r="Y547" s="70"/>
    </row>
    <row r="548" spans="7:25" ht="13.2"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S548" s="70"/>
      <c r="T548" s="70"/>
      <c r="U548" s="70"/>
      <c r="V548" s="70"/>
      <c r="W548" s="70"/>
      <c r="X548" s="70"/>
      <c r="Y548" s="70"/>
    </row>
    <row r="549" spans="7:25" ht="13.2"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S549" s="70"/>
      <c r="T549" s="70"/>
      <c r="U549" s="70"/>
      <c r="V549" s="70"/>
      <c r="W549" s="70"/>
      <c r="X549" s="70"/>
      <c r="Y549" s="70"/>
    </row>
    <row r="550" spans="7:25" ht="13.2"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S550" s="70"/>
      <c r="T550" s="70"/>
      <c r="U550" s="70"/>
      <c r="V550" s="70"/>
      <c r="W550" s="70"/>
      <c r="X550" s="70"/>
      <c r="Y550" s="70"/>
    </row>
    <row r="551" spans="7:25" ht="13.2"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S551" s="70"/>
      <c r="T551" s="70"/>
      <c r="U551" s="70"/>
      <c r="V551" s="70"/>
      <c r="W551" s="70"/>
      <c r="X551" s="70"/>
      <c r="Y551" s="70"/>
    </row>
    <row r="552" spans="7:25" ht="13.2"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S552" s="70"/>
      <c r="T552" s="70"/>
      <c r="U552" s="70"/>
      <c r="V552" s="70"/>
      <c r="W552" s="70"/>
      <c r="X552" s="70"/>
      <c r="Y552" s="70"/>
    </row>
    <row r="553" spans="7:25" ht="13.2"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S553" s="70"/>
      <c r="T553" s="70"/>
      <c r="U553" s="70"/>
      <c r="V553" s="70"/>
      <c r="W553" s="70"/>
      <c r="X553" s="70"/>
      <c r="Y553" s="70"/>
    </row>
    <row r="554" spans="7:25" ht="13.2"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S554" s="70"/>
      <c r="T554" s="70"/>
      <c r="U554" s="70"/>
      <c r="V554" s="70"/>
      <c r="W554" s="70"/>
      <c r="X554" s="70"/>
      <c r="Y554" s="70"/>
    </row>
    <row r="555" spans="7:25" ht="13.2"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S555" s="70"/>
      <c r="T555" s="70"/>
      <c r="U555" s="70"/>
      <c r="V555" s="70"/>
      <c r="W555" s="70"/>
      <c r="X555" s="70"/>
      <c r="Y555" s="70"/>
    </row>
    <row r="556" spans="7:25" ht="13.2"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S556" s="70"/>
      <c r="T556" s="70"/>
      <c r="U556" s="70"/>
      <c r="V556" s="70"/>
      <c r="W556" s="70"/>
      <c r="X556" s="70"/>
      <c r="Y556" s="70"/>
    </row>
    <row r="557" spans="7:25" ht="13.2"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S557" s="70"/>
      <c r="T557" s="70"/>
      <c r="U557" s="70"/>
      <c r="V557" s="70"/>
      <c r="W557" s="70"/>
      <c r="X557" s="70"/>
      <c r="Y557" s="70"/>
    </row>
    <row r="558" spans="7:25" ht="13.2"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S558" s="70"/>
      <c r="T558" s="70"/>
      <c r="U558" s="70"/>
      <c r="V558" s="70"/>
      <c r="W558" s="70"/>
      <c r="X558" s="70"/>
      <c r="Y558" s="70"/>
    </row>
    <row r="559" spans="7:25" ht="13.2"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S559" s="70"/>
      <c r="T559" s="70"/>
      <c r="U559" s="70"/>
      <c r="V559" s="70"/>
      <c r="W559" s="70"/>
      <c r="X559" s="70"/>
      <c r="Y559" s="70"/>
    </row>
    <row r="560" spans="7:25" ht="13.2"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S560" s="70"/>
      <c r="T560" s="70"/>
      <c r="U560" s="70"/>
      <c r="V560" s="70"/>
      <c r="W560" s="70"/>
      <c r="X560" s="70"/>
      <c r="Y560" s="70"/>
    </row>
    <row r="561" spans="7:25" ht="13.2"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S561" s="70"/>
      <c r="T561" s="70"/>
      <c r="U561" s="70"/>
      <c r="V561" s="70"/>
      <c r="W561" s="70"/>
      <c r="X561" s="70"/>
      <c r="Y561" s="70"/>
    </row>
    <row r="562" spans="7:25" ht="13.2"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S562" s="70"/>
      <c r="T562" s="70"/>
      <c r="U562" s="70"/>
      <c r="V562" s="70"/>
      <c r="W562" s="70"/>
      <c r="X562" s="70"/>
      <c r="Y562" s="70"/>
    </row>
    <row r="563" spans="7:25" ht="13.2"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S563" s="70"/>
      <c r="T563" s="70"/>
      <c r="U563" s="70"/>
      <c r="V563" s="70"/>
      <c r="W563" s="70"/>
      <c r="X563" s="70"/>
      <c r="Y563" s="70"/>
    </row>
    <row r="564" spans="7:25" ht="13.2"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S564" s="70"/>
      <c r="T564" s="70"/>
      <c r="U564" s="70"/>
      <c r="V564" s="70"/>
      <c r="W564" s="70"/>
      <c r="X564" s="70"/>
      <c r="Y564" s="70"/>
    </row>
    <row r="565" spans="7:25" ht="13.2"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S565" s="70"/>
      <c r="T565" s="70"/>
      <c r="U565" s="70"/>
      <c r="V565" s="70"/>
      <c r="W565" s="70"/>
      <c r="X565" s="70"/>
      <c r="Y565" s="70"/>
    </row>
    <row r="566" spans="7:25" ht="13.2"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S566" s="70"/>
      <c r="T566" s="70"/>
      <c r="U566" s="70"/>
      <c r="V566" s="70"/>
      <c r="W566" s="70"/>
      <c r="X566" s="70"/>
      <c r="Y566" s="70"/>
    </row>
    <row r="567" spans="7:25" ht="13.2"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S567" s="70"/>
      <c r="T567" s="70"/>
      <c r="U567" s="70"/>
      <c r="V567" s="70"/>
      <c r="W567" s="70"/>
      <c r="X567" s="70"/>
      <c r="Y567" s="70"/>
    </row>
    <row r="568" spans="7:25" ht="13.2"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S568" s="70"/>
      <c r="T568" s="70"/>
      <c r="U568" s="70"/>
      <c r="V568" s="70"/>
      <c r="W568" s="70"/>
      <c r="X568" s="70"/>
      <c r="Y568" s="70"/>
    </row>
    <row r="569" spans="7:25" ht="13.2"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S569" s="70"/>
      <c r="T569" s="70"/>
      <c r="U569" s="70"/>
      <c r="V569" s="70"/>
      <c r="W569" s="70"/>
      <c r="X569" s="70"/>
      <c r="Y569" s="70"/>
    </row>
    <row r="570" spans="7:25" ht="13.2"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S570" s="70"/>
      <c r="T570" s="70"/>
      <c r="U570" s="70"/>
      <c r="V570" s="70"/>
      <c r="W570" s="70"/>
      <c r="X570" s="70"/>
      <c r="Y570" s="70"/>
    </row>
    <row r="571" spans="7:25" ht="13.2"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S571" s="70"/>
      <c r="T571" s="70"/>
      <c r="U571" s="70"/>
      <c r="V571" s="70"/>
      <c r="W571" s="70"/>
      <c r="X571" s="70"/>
      <c r="Y571" s="70"/>
    </row>
    <row r="572" spans="7:25" ht="13.2"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S572" s="70"/>
      <c r="T572" s="70"/>
      <c r="U572" s="70"/>
      <c r="V572" s="70"/>
      <c r="W572" s="70"/>
      <c r="X572" s="70"/>
      <c r="Y572" s="70"/>
    </row>
    <row r="573" spans="7:25" ht="13.2"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S573" s="70"/>
      <c r="T573" s="70"/>
      <c r="U573" s="70"/>
      <c r="V573" s="70"/>
      <c r="W573" s="70"/>
      <c r="X573" s="70"/>
      <c r="Y573" s="70"/>
    </row>
    <row r="574" spans="7:25" ht="13.2"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S574" s="70"/>
      <c r="T574" s="70"/>
      <c r="U574" s="70"/>
      <c r="V574" s="70"/>
      <c r="W574" s="70"/>
      <c r="X574" s="70"/>
      <c r="Y574" s="70"/>
    </row>
    <row r="575" spans="7:25" ht="13.2"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S575" s="70"/>
      <c r="T575" s="70"/>
      <c r="U575" s="70"/>
      <c r="V575" s="70"/>
      <c r="W575" s="70"/>
      <c r="X575" s="70"/>
      <c r="Y575" s="70"/>
    </row>
    <row r="576" spans="7:25" ht="13.2"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S576" s="70"/>
      <c r="T576" s="70"/>
      <c r="U576" s="70"/>
      <c r="V576" s="70"/>
      <c r="W576" s="70"/>
      <c r="X576" s="70"/>
      <c r="Y576" s="70"/>
    </row>
    <row r="577" spans="7:25" ht="13.2"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S577" s="70"/>
      <c r="T577" s="70"/>
      <c r="U577" s="70"/>
      <c r="V577" s="70"/>
      <c r="W577" s="70"/>
      <c r="X577" s="70"/>
      <c r="Y577" s="70"/>
    </row>
    <row r="578" spans="7:25" ht="13.2"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S578" s="70"/>
      <c r="T578" s="70"/>
      <c r="U578" s="70"/>
      <c r="V578" s="70"/>
      <c r="W578" s="70"/>
      <c r="X578" s="70"/>
      <c r="Y578" s="70"/>
    </row>
    <row r="579" spans="7:25" ht="13.2"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S579" s="70"/>
      <c r="T579" s="70"/>
      <c r="U579" s="70"/>
      <c r="V579" s="70"/>
      <c r="W579" s="70"/>
      <c r="X579" s="70"/>
      <c r="Y579" s="70"/>
    </row>
    <row r="580" spans="7:25" ht="13.2"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S580" s="70"/>
      <c r="T580" s="70"/>
      <c r="U580" s="70"/>
      <c r="V580" s="70"/>
      <c r="W580" s="70"/>
      <c r="X580" s="70"/>
      <c r="Y580" s="70"/>
    </row>
    <row r="581" spans="7:25" ht="13.2"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S581" s="70"/>
      <c r="T581" s="70"/>
      <c r="U581" s="70"/>
      <c r="V581" s="70"/>
      <c r="W581" s="70"/>
      <c r="X581" s="70"/>
      <c r="Y581" s="70"/>
    </row>
    <row r="582" spans="7:25" ht="13.2"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S582" s="70"/>
      <c r="T582" s="70"/>
      <c r="U582" s="70"/>
      <c r="V582" s="70"/>
      <c r="W582" s="70"/>
      <c r="X582" s="70"/>
      <c r="Y582" s="70"/>
    </row>
    <row r="583" spans="7:25" ht="13.2"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S583" s="70"/>
      <c r="T583" s="70"/>
      <c r="U583" s="70"/>
      <c r="V583" s="70"/>
      <c r="W583" s="70"/>
      <c r="X583" s="70"/>
      <c r="Y583" s="70"/>
    </row>
    <row r="584" spans="7:25" ht="13.2"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S584" s="70"/>
      <c r="T584" s="70"/>
      <c r="U584" s="70"/>
      <c r="V584" s="70"/>
      <c r="W584" s="70"/>
      <c r="X584" s="70"/>
      <c r="Y584" s="70"/>
    </row>
    <row r="585" spans="7:25" ht="13.2"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S585" s="70"/>
      <c r="T585" s="70"/>
      <c r="U585" s="70"/>
      <c r="V585" s="70"/>
      <c r="W585" s="70"/>
      <c r="X585" s="70"/>
      <c r="Y585" s="70"/>
    </row>
    <row r="586" spans="7:25" ht="13.2"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S586" s="70"/>
      <c r="T586" s="70"/>
      <c r="U586" s="70"/>
      <c r="V586" s="70"/>
      <c r="W586" s="70"/>
      <c r="X586" s="70"/>
      <c r="Y586" s="70"/>
    </row>
    <row r="587" spans="7:25" ht="13.2"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S587" s="70"/>
      <c r="T587" s="70"/>
      <c r="U587" s="70"/>
      <c r="V587" s="70"/>
      <c r="W587" s="70"/>
      <c r="X587" s="70"/>
      <c r="Y587" s="70"/>
    </row>
    <row r="588" spans="7:25" ht="13.2"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S588" s="70"/>
      <c r="T588" s="70"/>
      <c r="U588" s="70"/>
      <c r="V588" s="70"/>
      <c r="W588" s="70"/>
      <c r="X588" s="70"/>
      <c r="Y588" s="70"/>
    </row>
    <row r="589" spans="7:25" ht="13.2"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S589" s="70"/>
      <c r="T589" s="70"/>
      <c r="U589" s="70"/>
      <c r="V589" s="70"/>
      <c r="W589" s="70"/>
      <c r="X589" s="70"/>
      <c r="Y589" s="70"/>
    </row>
    <row r="590" spans="7:25" ht="13.2"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S590" s="70"/>
      <c r="T590" s="70"/>
      <c r="U590" s="70"/>
      <c r="V590" s="70"/>
      <c r="W590" s="70"/>
      <c r="X590" s="70"/>
      <c r="Y590" s="70"/>
    </row>
    <row r="591" spans="7:25" ht="13.2"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S591" s="70"/>
      <c r="T591" s="70"/>
      <c r="U591" s="70"/>
      <c r="V591" s="70"/>
      <c r="W591" s="70"/>
      <c r="X591" s="70"/>
      <c r="Y591" s="70"/>
    </row>
    <row r="592" spans="7:25" ht="13.2"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S592" s="70"/>
      <c r="T592" s="70"/>
      <c r="U592" s="70"/>
      <c r="V592" s="70"/>
      <c r="W592" s="70"/>
      <c r="X592" s="70"/>
      <c r="Y592" s="70"/>
    </row>
    <row r="593" spans="7:25" ht="13.2"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S593" s="70"/>
      <c r="T593" s="70"/>
      <c r="U593" s="70"/>
      <c r="V593" s="70"/>
      <c r="W593" s="70"/>
      <c r="X593" s="70"/>
      <c r="Y593" s="70"/>
    </row>
    <row r="594" spans="7:25" ht="13.2"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S594" s="70"/>
      <c r="T594" s="70"/>
      <c r="U594" s="70"/>
      <c r="V594" s="70"/>
      <c r="W594" s="70"/>
      <c r="X594" s="70"/>
      <c r="Y594" s="70"/>
    </row>
    <row r="595" spans="7:25" ht="13.2"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S595" s="70"/>
      <c r="T595" s="70"/>
      <c r="U595" s="70"/>
      <c r="V595" s="70"/>
      <c r="W595" s="70"/>
      <c r="X595" s="70"/>
      <c r="Y595" s="70"/>
    </row>
    <row r="596" spans="7:25" ht="13.2"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S596" s="70"/>
      <c r="T596" s="70"/>
      <c r="U596" s="70"/>
      <c r="V596" s="70"/>
      <c r="W596" s="70"/>
      <c r="X596" s="70"/>
      <c r="Y596" s="70"/>
    </row>
    <row r="597" spans="7:25" ht="13.2"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S597" s="70"/>
      <c r="T597" s="70"/>
      <c r="U597" s="70"/>
      <c r="V597" s="70"/>
      <c r="W597" s="70"/>
      <c r="X597" s="70"/>
      <c r="Y597" s="70"/>
    </row>
    <row r="598" spans="7:25" ht="13.2"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S598" s="70"/>
      <c r="T598" s="70"/>
      <c r="U598" s="70"/>
      <c r="V598" s="70"/>
      <c r="W598" s="70"/>
      <c r="X598" s="70"/>
      <c r="Y598" s="70"/>
    </row>
    <row r="599" spans="7:25" ht="13.2"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S599" s="70"/>
      <c r="T599" s="70"/>
      <c r="U599" s="70"/>
      <c r="V599" s="70"/>
      <c r="W599" s="70"/>
      <c r="X599" s="70"/>
      <c r="Y599" s="70"/>
    </row>
    <row r="600" spans="7:25" ht="13.2"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S600" s="70"/>
      <c r="T600" s="70"/>
      <c r="U600" s="70"/>
      <c r="V600" s="70"/>
      <c r="W600" s="70"/>
      <c r="X600" s="70"/>
      <c r="Y600" s="70"/>
    </row>
    <row r="601" spans="7:25" ht="13.2"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S601" s="70"/>
      <c r="T601" s="70"/>
      <c r="U601" s="70"/>
      <c r="V601" s="70"/>
      <c r="W601" s="70"/>
      <c r="X601" s="70"/>
      <c r="Y601" s="70"/>
    </row>
    <row r="602" spans="7:25" ht="13.2"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S602" s="70"/>
      <c r="T602" s="70"/>
      <c r="U602" s="70"/>
      <c r="V602" s="70"/>
      <c r="W602" s="70"/>
      <c r="X602" s="70"/>
      <c r="Y602" s="70"/>
    </row>
    <row r="603" spans="7:25" ht="13.2"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S603" s="70"/>
      <c r="T603" s="70"/>
      <c r="U603" s="70"/>
      <c r="V603" s="70"/>
      <c r="W603" s="70"/>
      <c r="X603" s="70"/>
      <c r="Y603" s="70"/>
    </row>
    <row r="604" spans="7:25" ht="13.2"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S604" s="70"/>
      <c r="T604" s="70"/>
      <c r="U604" s="70"/>
      <c r="V604" s="70"/>
      <c r="W604" s="70"/>
      <c r="X604" s="70"/>
      <c r="Y604" s="70"/>
    </row>
    <row r="605" spans="7:25" ht="13.2"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S605" s="70"/>
      <c r="T605" s="70"/>
      <c r="U605" s="70"/>
      <c r="V605" s="70"/>
      <c r="W605" s="70"/>
      <c r="X605" s="70"/>
      <c r="Y605" s="70"/>
    </row>
    <row r="606" spans="7:25" ht="13.2"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S606" s="70"/>
      <c r="T606" s="70"/>
      <c r="U606" s="70"/>
      <c r="V606" s="70"/>
      <c r="W606" s="70"/>
      <c r="X606" s="70"/>
      <c r="Y606" s="70"/>
    </row>
    <row r="607" spans="7:25" ht="13.2"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S607" s="70"/>
      <c r="T607" s="70"/>
      <c r="U607" s="70"/>
      <c r="V607" s="70"/>
      <c r="W607" s="70"/>
      <c r="X607" s="70"/>
      <c r="Y607" s="70"/>
    </row>
    <row r="608" spans="7:25" ht="13.2"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S608" s="70"/>
      <c r="T608" s="70"/>
      <c r="U608" s="70"/>
      <c r="V608" s="70"/>
      <c r="W608" s="70"/>
      <c r="X608" s="70"/>
      <c r="Y608" s="70"/>
    </row>
    <row r="609" spans="7:25" ht="13.2"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S609" s="70"/>
      <c r="T609" s="70"/>
      <c r="U609" s="70"/>
      <c r="V609" s="70"/>
      <c r="W609" s="70"/>
      <c r="X609" s="70"/>
      <c r="Y609" s="70"/>
    </row>
    <row r="610" spans="7:25" ht="13.2"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S610" s="70"/>
      <c r="T610" s="70"/>
      <c r="U610" s="70"/>
      <c r="V610" s="70"/>
      <c r="W610" s="70"/>
      <c r="X610" s="70"/>
      <c r="Y610" s="70"/>
    </row>
    <row r="611" spans="7:25" ht="13.2"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S611" s="70"/>
      <c r="T611" s="70"/>
      <c r="U611" s="70"/>
      <c r="V611" s="70"/>
      <c r="W611" s="70"/>
      <c r="X611" s="70"/>
      <c r="Y611" s="70"/>
    </row>
    <row r="612" spans="7:25" ht="13.2"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S612" s="70"/>
      <c r="T612" s="70"/>
      <c r="U612" s="70"/>
      <c r="V612" s="70"/>
      <c r="W612" s="70"/>
      <c r="X612" s="70"/>
      <c r="Y612" s="70"/>
    </row>
    <row r="613" spans="7:25" ht="13.2"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S613" s="70"/>
      <c r="T613" s="70"/>
      <c r="U613" s="70"/>
      <c r="V613" s="70"/>
      <c r="W613" s="70"/>
      <c r="X613" s="70"/>
      <c r="Y613" s="70"/>
    </row>
    <row r="614" spans="7:25" ht="13.2"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S614" s="70"/>
      <c r="T614" s="70"/>
      <c r="U614" s="70"/>
      <c r="V614" s="70"/>
      <c r="W614" s="70"/>
      <c r="X614" s="70"/>
      <c r="Y614" s="70"/>
    </row>
    <row r="615" spans="7:25" ht="13.2"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S615" s="70"/>
      <c r="T615" s="70"/>
      <c r="U615" s="70"/>
      <c r="V615" s="70"/>
      <c r="W615" s="70"/>
      <c r="X615" s="70"/>
      <c r="Y615" s="70"/>
    </row>
    <row r="616" spans="7:25" ht="13.2"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S616" s="70"/>
      <c r="T616" s="70"/>
      <c r="U616" s="70"/>
      <c r="V616" s="70"/>
      <c r="W616" s="70"/>
      <c r="X616" s="70"/>
      <c r="Y616" s="70"/>
    </row>
    <row r="617" spans="7:25" ht="13.2"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S617" s="70"/>
      <c r="T617" s="70"/>
      <c r="U617" s="70"/>
      <c r="V617" s="70"/>
      <c r="W617" s="70"/>
      <c r="X617" s="70"/>
      <c r="Y617" s="70"/>
    </row>
    <row r="618" spans="7:25" ht="13.2"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S618" s="70"/>
      <c r="T618" s="70"/>
      <c r="U618" s="70"/>
      <c r="V618" s="70"/>
      <c r="W618" s="70"/>
      <c r="X618" s="70"/>
      <c r="Y618" s="70"/>
    </row>
    <row r="619" spans="7:25" ht="13.2"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S619" s="70"/>
      <c r="T619" s="70"/>
      <c r="U619" s="70"/>
      <c r="V619" s="70"/>
      <c r="W619" s="70"/>
      <c r="X619" s="70"/>
      <c r="Y619" s="70"/>
    </row>
    <row r="620" spans="7:25" ht="13.2"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S620" s="70"/>
      <c r="T620" s="70"/>
      <c r="U620" s="70"/>
      <c r="V620" s="70"/>
      <c r="W620" s="70"/>
      <c r="X620" s="70"/>
      <c r="Y620" s="70"/>
    </row>
    <row r="621" spans="7:25" ht="13.2"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S621" s="70"/>
      <c r="T621" s="70"/>
      <c r="U621" s="70"/>
      <c r="V621" s="70"/>
      <c r="W621" s="70"/>
      <c r="X621" s="70"/>
      <c r="Y621" s="70"/>
    </row>
    <row r="622" spans="7:25" ht="13.2"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S622" s="70"/>
      <c r="T622" s="70"/>
      <c r="U622" s="70"/>
      <c r="V622" s="70"/>
      <c r="W622" s="70"/>
      <c r="X622" s="70"/>
      <c r="Y622" s="70"/>
    </row>
    <row r="623" spans="7:25" ht="13.2"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S623" s="70"/>
      <c r="T623" s="70"/>
      <c r="U623" s="70"/>
      <c r="V623" s="70"/>
      <c r="W623" s="70"/>
      <c r="X623" s="70"/>
      <c r="Y623" s="70"/>
    </row>
    <row r="624" spans="7:25" ht="13.2"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S624" s="70"/>
      <c r="T624" s="70"/>
      <c r="U624" s="70"/>
      <c r="V624" s="70"/>
      <c r="W624" s="70"/>
      <c r="X624" s="70"/>
      <c r="Y624" s="70"/>
    </row>
    <row r="625" spans="7:25" ht="13.2"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S625" s="70"/>
      <c r="T625" s="70"/>
      <c r="U625" s="70"/>
      <c r="V625" s="70"/>
      <c r="W625" s="70"/>
      <c r="X625" s="70"/>
      <c r="Y625" s="70"/>
    </row>
    <row r="626" spans="7:25" ht="13.2"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S626" s="70"/>
      <c r="T626" s="70"/>
      <c r="U626" s="70"/>
      <c r="V626" s="70"/>
      <c r="W626" s="70"/>
      <c r="X626" s="70"/>
      <c r="Y626" s="70"/>
    </row>
    <row r="627" spans="7:25" ht="13.2"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S627" s="70"/>
      <c r="T627" s="70"/>
      <c r="U627" s="70"/>
      <c r="V627" s="70"/>
      <c r="W627" s="70"/>
      <c r="X627" s="70"/>
      <c r="Y627" s="70"/>
    </row>
    <row r="628" spans="7:25" ht="13.2"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S628" s="70"/>
      <c r="T628" s="70"/>
      <c r="U628" s="70"/>
      <c r="V628" s="70"/>
      <c r="W628" s="70"/>
      <c r="X628" s="70"/>
      <c r="Y628" s="70"/>
    </row>
    <row r="629" spans="7:25" ht="13.2"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S629" s="70"/>
      <c r="T629" s="70"/>
      <c r="U629" s="70"/>
      <c r="V629" s="70"/>
      <c r="W629" s="70"/>
      <c r="X629" s="70"/>
      <c r="Y629" s="70"/>
    </row>
    <row r="630" spans="7:25" ht="13.2"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S630" s="70"/>
      <c r="T630" s="70"/>
      <c r="U630" s="70"/>
      <c r="V630" s="70"/>
      <c r="W630" s="70"/>
      <c r="X630" s="70"/>
      <c r="Y630" s="70"/>
    </row>
    <row r="631" spans="7:25" ht="13.2"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S631" s="70"/>
      <c r="T631" s="70"/>
      <c r="U631" s="70"/>
      <c r="V631" s="70"/>
      <c r="W631" s="70"/>
      <c r="X631" s="70"/>
      <c r="Y631" s="70"/>
    </row>
    <row r="632" spans="7:25" ht="13.2"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S632" s="70"/>
      <c r="T632" s="70"/>
      <c r="U632" s="70"/>
      <c r="V632" s="70"/>
      <c r="W632" s="70"/>
      <c r="X632" s="70"/>
      <c r="Y632" s="70"/>
    </row>
    <row r="633" spans="7:25" ht="13.2"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S633" s="70"/>
      <c r="T633" s="70"/>
      <c r="U633" s="70"/>
      <c r="V633" s="70"/>
      <c r="W633" s="70"/>
      <c r="X633" s="70"/>
      <c r="Y633" s="70"/>
    </row>
    <row r="634" spans="7:25" ht="13.2"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S634" s="70"/>
      <c r="T634" s="70"/>
      <c r="U634" s="70"/>
      <c r="V634" s="70"/>
      <c r="W634" s="70"/>
      <c r="X634" s="70"/>
      <c r="Y634" s="70"/>
    </row>
    <row r="635" spans="7:25" ht="13.2"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S635" s="70"/>
      <c r="T635" s="70"/>
      <c r="U635" s="70"/>
      <c r="V635" s="70"/>
      <c r="W635" s="70"/>
      <c r="X635" s="70"/>
      <c r="Y635" s="70"/>
    </row>
    <row r="636" spans="7:25" ht="13.2"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S636" s="70"/>
      <c r="T636" s="70"/>
      <c r="U636" s="70"/>
      <c r="V636" s="70"/>
      <c r="W636" s="70"/>
      <c r="X636" s="70"/>
      <c r="Y636" s="70"/>
    </row>
    <row r="637" spans="7:25" ht="13.2"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S637" s="70"/>
      <c r="T637" s="70"/>
      <c r="U637" s="70"/>
      <c r="V637" s="70"/>
      <c r="W637" s="70"/>
      <c r="X637" s="70"/>
      <c r="Y637" s="70"/>
    </row>
    <row r="638" spans="7:25" ht="13.2"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S638" s="70"/>
      <c r="T638" s="70"/>
      <c r="U638" s="70"/>
      <c r="V638" s="70"/>
      <c r="W638" s="70"/>
      <c r="X638" s="70"/>
      <c r="Y638" s="70"/>
    </row>
    <row r="639" spans="7:25" ht="13.2"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S639" s="70"/>
      <c r="T639" s="70"/>
      <c r="U639" s="70"/>
      <c r="V639" s="70"/>
      <c r="W639" s="70"/>
      <c r="X639" s="70"/>
      <c r="Y639" s="70"/>
    </row>
    <row r="640" spans="7:25" ht="13.2"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S640" s="70"/>
      <c r="T640" s="70"/>
      <c r="U640" s="70"/>
      <c r="V640" s="70"/>
      <c r="W640" s="70"/>
      <c r="X640" s="70"/>
      <c r="Y640" s="70"/>
    </row>
    <row r="641" spans="7:25" ht="13.2"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S641" s="70"/>
      <c r="T641" s="70"/>
      <c r="U641" s="70"/>
      <c r="V641" s="70"/>
      <c r="W641" s="70"/>
      <c r="X641" s="70"/>
      <c r="Y641" s="70"/>
    </row>
    <row r="642" spans="7:25" ht="13.2"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S642" s="70"/>
      <c r="T642" s="70"/>
      <c r="U642" s="70"/>
      <c r="V642" s="70"/>
      <c r="W642" s="70"/>
      <c r="X642" s="70"/>
      <c r="Y642" s="70"/>
    </row>
    <row r="643" spans="7:25" ht="13.2"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S643" s="70"/>
      <c r="T643" s="70"/>
      <c r="U643" s="70"/>
      <c r="V643" s="70"/>
      <c r="W643" s="70"/>
      <c r="X643" s="70"/>
      <c r="Y643" s="70"/>
    </row>
    <row r="644" spans="7:25" ht="13.2"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S644" s="70"/>
      <c r="T644" s="70"/>
      <c r="U644" s="70"/>
      <c r="V644" s="70"/>
      <c r="W644" s="70"/>
      <c r="X644" s="70"/>
      <c r="Y644" s="70"/>
    </row>
    <row r="645" spans="7:25" ht="13.2"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S645" s="70"/>
      <c r="T645" s="70"/>
      <c r="U645" s="70"/>
      <c r="V645" s="70"/>
      <c r="W645" s="70"/>
      <c r="X645" s="70"/>
      <c r="Y645" s="70"/>
    </row>
    <row r="646" spans="7:25" ht="13.2"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S646" s="70"/>
      <c r="T646" s="70"/>
      <c r="U646" s="70"/>
      <c r="V646" s="70"/>
      <c r="W646" s="70"/>
      <c r="X646" s="70"/>
      <c r="Y646" s="70"/>
    </row>
    <row r="647" spans="7:25" ht="13.2"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S647" s="70"/>
      <c r="T647" s="70"/>
      <c r="U647" s="70"/>
      <c r="V647" s="70"/>
      <c r="W647" s="70"/>
      <c r="X647" s="70"/>
      <c r="Y647" s="70"/>
    </row>
    <row r="648" spans="7:25" ht="13.2"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S648" s="70"/>
      <c r="T648" s="70"/>
      <c r="U648" s="70"/>
      <c r="V648" s="70"/>
      <c r="W648" s="70"/>
      <c r="X648" s="70"/>
      <c r="Y648" s="70"/>
    </row>
    <row r="649" spans="7:25" ht="13.2"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S649" s="70"/>
      <c r="T649" s="70"/>
      <c r="U649" s="70"/>
      <c r="V649" s="70"/>
      <c r="W649" s="70"/>
      <c r="X649" s="70"/>
      <c r="Y649" s="70"/>
    </row>
    <row r="650" spans="7:25" ht="13.2"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S650" s="70"/>
      <c r="T650" s="70"/>
      <c r="U650" s="70"/>
      <c r="V650" s="70"/>
      <c r="W650" s="70"/>
      <c r="X650" s="70"/>
      <c r="Y650" s="70"/>
    </row>
    <row r="651" spans="7:25" ht="13.2"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S651" s="70"/>
      <c r="T651" s="70"/>
      <c r="U651" s="70"/>
      <c r="V651" s="70"/>
      <c r="W651" s="70"/>
      <c r="X651" s="70"/>
      <c r="Y651" s="70"/>
    </row>
    <row r="652" spans="7:25" ht="13.2"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S652" s="70"/>
      <c r="T652" s="70"/>
      <c r="U652" s="70"/>
      <c r="V652" s="70"/>
      <c r="W652" s="70"/>
      <c r="X652" s="70"/>
      <c r="Y652" s="70"/>
    </row>
    <row r="653" spans="7:25" ht="13.2"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S653" s="70"/>
      <c r="T653" s="70"/>
      <c r="U653" s="70"/>
      <c r="V653" s="70"/>
      <c r="W653" s="70"/>
      <c r="X653" s="70"/>
      <c r="Y653" s="70"/>
    </row>
    <row r="654" spans="7:25" ht="13.2"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S654" s="70"/>
      <c r="T654" s="70"/>
      <c r="U654" s="70"/>
      <c r="V654" s="70"/>
      <c r="W654" s="70"/>
      <c r="X654" s="70"/>
      <c r="Y654" s="70"/>
    </row>
    <row r="655" spans="7:25" ht="13.2"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S655" s="70"/>
      <c r="T655" s="70"/>
      <c r="U655" s="70"/>
      <c r="V655" s="70"/>
      <c r="W655" s="70"/>
      <c r="X655" s="70"/>
      <c r="Y655" s="70"/>
    </row>
    <row r="656" spans="7:25" ht="13.2"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S656" s="70"/>
      <c r="T656" s="70"/>
      <c r="U656" s="70"/>
      <c r="V656" s="70"/>
      <c r="W656" s="70"/>
      <c r="X656" s="70"/>
      <c r="Y656" s="70"/>
    </row>
    <row r="657" spans="7:25" ht="13.2"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S657" s="70"/>
      <c r="T657" s="70"/>
      <c r="U657" s="70"/>
      <c r="V657" s="70"/>
      <c r="W657" s="70"/>
      <c r="X657" s="70"/>
      <c r="Y657" s="70"/>
    </row>
    <row r="658" spans="7:25" ht="13.2"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S658" s="70"/>
      <c r="T658" s="70"/>
      <c r="U658" s="70"/>
      <c r="V658" s="70"/>
      <c r="W658" s="70"/>
      <c r="X658" s="70"/>
      <c r="Y658" s="70"/>
    </row>
    <row r="659" spans="7:25" ht="13.2"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S659" s="70"/>
      <c r="T659" s="70"/>
      <c r="U659" s="70"/>
      <c r="V659" s="70"/>
      <c r="W659" s="70"/>
      <c r="X659" s="70"/>
      <c r="Y659" s="70"/>
    </row>
    <row r="660" spans="7:25" ht="13.2"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S660" s="70"/>
      <c r="T660" s="70"/>
      <c r="U660" s="70"/>
      <c r="V660" s="70"/>
      <c r="W660" s="70"/>
      <c r="X660" s="70"/>
      <c r="Y660" s="70"/>
    </row>
    <row r="661" spans="7:25" ht="13.2"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S661" s="70"/>
      <c r="T661" s="70"/>
      <c r="U661" s="70"/>
      <c r="V661" s="70"/>
      <c r="W661" s="70"/>
      <c r="X661" s="70"/>
      <c r="Y661" s="70"/>
    </row>
    <row r="662" spans="7:25" ht="13.2"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S662" s="70"/>
      <c r="T662" s="70"/>
      <c r="U662" s="70"/>
      <c r="V662" s="70"/>
      <c r="W662" s="70"/>
      <c r="X662" s="70"/>
      <c r="Y662" s="70"/>
    </row>
    <row r="663" spans="7:25" ht="13.2"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S663" s="70"/>
      <c r="T663" s="70"/>
      <c r="U663" s="70"/>
      <c r="V663" s="70"/>
      <c r="W663" s="70"/>
      <c r="X663" s="70"/>
      <c r="Y663" s="70"/>
    </row>
    <row r="664" spans="7:25" ht="13.2"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S664" s="70"/>
      <c r="T664" s="70"/>
      <c r="U664" s="70"/>
      <c r="V664" s="70"/>
      <c r="W664" s="70"/>
      <c r="X664" s="70"/>
      <c r="Y664" s="70"/>
    </row>
    <row r="665" spans="7:25" ht="13.2"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S665" s="70"/>
      <c r="T665" s="70"/>
      <c r="U665" s="70"/>
      <c r="V665" s="70"/>
      <c r="W665" s="70"/>
      <c r="X665" s="70"/>
      <c r="Y665" s="70"/>
    </row>
    <row r="666" spans="7:25" ht="13.2"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S666" s="70"/>
      <c r="T666" s="70"/>
      <c r="U666" s="70"/>
      <c r="V666" s="70"/>
      <c r="W666" s="70"/>
      <c r="X666" s="70"/>
      <c r="Y666" s="70"/>
    </row>
    <row r="667" spans="7:25" ht="13.2"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S667" s="70"/>
      <c r="T667" s="70"/>
      <c r="U667" s="70"/>
      <c r="V667" s="70"/>
      <c r="W667" s="70"/>
      <c r="X667" s="70"/>
      <c r="Y667" s="70"/>
    </row>
    <row r="668" spans="7:25" ht="13.2"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S668" s="70"/>
      <c r="T668" s="70"/>
      <c r="U668" s="70"/>
      <c r="V668" s="70"/>
      <c r="W668" s="70"/>
      <c r="X668" s="70"/>
      <c r="Y668" s="70"/>
    </row>
    <row r="669" spans="7:25" ht="13.2"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S669" s="70"/>
      <c r="T669" s="70"/>
      <c r="U669" s="70"/>
      <c r="V669" s="70"/>
      <c r="W669" s="70"/>
      <c r="X669" s="70"/>
      <c r="Y669" s="70"/>
    </row>
    <row r="670" spans="7:25" ht="13.2"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S670" s="70"/>
      <c r="T670" s="70"/>
      <c r="U670" s="70"/>
      <c r="V670" s="70"/>
      <c r="W670" s="70"/>
      <c r="X670" s="70"/>
      <c r="Y670" s="70"/>
    </row>
    <row r="671" spans="7:25" ht="13.2"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S671" s="70"/>
      <c r="T671" s="70"/>
      <c r="U671" s="70"/>
      <c r="V671" s="70"/>
      <c r="W671" s="70"/>
      <c r="X671" s="70"/>
      <c r="Y671" s="70"/>
    </row>
    <row r="672" spans="7:25" ht="13.2"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S672" s="70"/>
      <c r="T672" s="70"/>
      <c r="U672" s="70"/>
      <c r="V672" s="70"/>
      <c r="W672" s="70"/>
      <c r="X672" s="70"/>
      <c r="Y672" s="70"/>
    </row>
    <row r="673" spans="7:25" ht="13.2"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S673" s="70"/>
      <c r="T673" s="70"/>
      <c r="U673" s="70"/>
      <c r="V673" s="70"/>
      <c r="W673" s="70"/>
      <c r="X673" s="70"/>
      <c r="Y673" s="70"/>
    </row>
    <row r="674" spans="7:25" ht="13.2"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S674" s="70"/>
      <c r="T674" s="70"/>
      <c r="U674" s="70"/>
      <c r="V674" s="70"/>
      <c r="W674" s="70"/>
      <c r="X674" s="70"/>
      <c r="Y674" s="70"/>
    </row>
    <row r="675" spans="7:25" ht="13.2"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S675" s="70"/>
      <c r="T675" s="70"/>
      <c r="U675" s="70"/>
      <c r="V675" s="70"/>
      <c r="W675" s="70"/>
      <c r="X675" s="70"/>
      <c r="Y675" s="70"/>
    </row>
    <row r="676" spans="7:25" ht="13.2"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S676" s="70"/>
      <c r="T676" s="70"/>
      <c r="U676" s="70"/>
      <c r="V676" s="70"/>
      <c r="W676" s="70"/>
      <c r="X676" s="70"/>
      <c r="Y676" s="70"/>
    </row>
    <row r="677" spans="7:25" ht="13.2"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S677" s="70"/>
      <c r="T677" s="70"/>
      <c r="U677" s="70"/>
      <c r="V677" s="70"/>
      <c r="W677" s="70"/>
      <c r="X677" s="70"/>
      <c r="Y677" s="70"/>
    </row>
    <row r="678" spans="7:25" ht="13.2"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S678" s="70"/>
      <c r="T678" s="70"/>
      <c r="U678" s="70"/>
      <c r="V678" s="70"/>
      <c r="W678" s="70"/>
      <c r="X678" s="70"/>
      <c r="Y678" s="70"/>
    </row>
    <row r="679" spans="7:25" ht="13.2"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S679" s="70"/>
      <c r="T679" s="70"/>
      <c r="U679" s="70"/>
      <c r="V679" s="70"/>
      <c r="W679" s="70"/>
      <c r="X679" s="70"/>
      <c r="Y679" s="70"/>
    </row>
    <row r="680" spans="7:25" ht="13.2"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S680" s="70"/>
      <c r="T680" s="70"/>
      <c r="U680" s="70"/>
      <c r="V680" s="70"/>
      <c r="W680" s="70"/>
      <c r="X680" s="70"/>
      <c r="Y680" s="70"/>
    </row>
    <row r="681" spans="7:25" ht="13.2"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S681" s="70"/>
      <c r="T681" s="70"/>
      <c r="U681" s="70"/>
      <c r="V681" s="70"/>
      <c r="W681" s="70"/>
      <c r="X681" s="70"/>
      <c r="Y681" s="70"/>
    </row>
    <row r="682" spans="7:25" ht="13.2"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S682" s="70"/>
      <c r="T682" s="70"/>
      <c r="U682" s="70"/>
      <c r="V682" s="70"/>
      <c r="W682" s="70"/>
      <c r="X682" s="70"/>
      <c r="Y682" s="70"/>
    </row>
    <row r="683" spans="7:25" ht="13.2"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S683" s="70"/>
      <c r="T683" s="70"/>
      <c r="U683" s="70"/>
      <c r="V683" s="70"/>
      <c r="W683" s="70"/>
      <c r="X683" s="70"/>
      <c r="Y683" s="70"/>
    </row>
    <row r="684" spans="7:25" ht="13.2"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S684" s="70"/>
      <c r="T684" s="70"/>
      <c r="U684" s="70"/>
      <c r="V684" s="70"/>
      <c r="W684" s="70"/>
      <c r="X684" s="70"/>
      <c r="Y684" s="70"/>
    </row>
    <row r="685" spans="7:25" ht="13.2"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S685" s="70"/>
      <c r="T685" s="70"/>
      <c r="U685" s="70"/>
      <c r="V685" s="70"/>
      <c r="W685" s="70"/>
      <c r="X685" s="70"/>
      <c r="Y685" s="70"/>
    </row>
    <row r="686" spans="7:25" ht="13.2"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S686" s="70"/>
      <c r="T686" s="70"/>
      <c r="U686" s="70"/>
      <c r="V686" s="70"/>
      <c r="W686" s="70"/>
      <c r="X686" s="70"/>
      <c r="Y686" s="70"/>
    </row>
    <row r="687" spans="7:25" ht="13.2"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S687" s="70"/>
      <c r="T687" s="70"/>
      <c r="U687" s="70"/>
      <c r="V687" s="70"/>
      <c r="W687" s="70"/>
      <c r="X687" s="70"/>
      <c r="Y687" s="70"/>
    </row>
    <row r="688" spans="7:25" ht="13.2"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S688" s="70"/>
      <c r="T688" s="70"/>
      <c r="U688" s="70"/>
      <c r="V688" s="70"/>
      <c r="W688" s="70"/>
      <c r="X688" s="70"/>
      <c r="Y688" s="70"/>
    </row>
    <row r="689" spans="7:25" ht="13.2"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S689" s="70"/>
      <c r="T689" s="70"/>
      <c r="U689" s="70"/>
      <c r="V689" s="70"/>
      <c r="W689" s="70"/>
      <c r="X689" s="70"/>
      <c r="Y689" s="70"/>
    </row>
    <row r="690" spans="7:25" ht="13.2"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S690" s="70"/>
      <c r="T690" s="70"/>
      <c r="U690" s="70"/>
      <c r="V690" s="70"/>
      <c r="W690" s="70"/>
      <c r="X690" s="70"/>
      <c r="Y690" s="70"/>
    </row>
    <row r="691" spans="7:25" ht="13.2"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S691" s="70"/>
      <c r="T691" s="70"/>
      <c r="U691" s="70"/>
      <c r="V691" s="70"/>
      <c r="W691" s="70"/>
      <c r="X691" s="70"/>
      <c r="Y691" s="70"/>
    </row>
    <row r="692" spans="7:25" ht="13.2"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S692" s="70"/>
      <c r="T692" s="70"/>
      <c r="U692" s="70"/>
      <c r="V692" s="70"/>
      <c r="W692" s="70"/>
      <c r="X692" s="70"/>
      <c r="Y692" s="70"/>
    </row>
    <row r="693" spans="7:25" ht="13.2"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S693" s="70"/>
      <c r="T693" s="70"/>
      <c r="U693" s="70"/>
      <c r="V693" s="70"/>
      <c r="W693" s="70"/>
      <c r="X693" s="70"/>
      <c r="Y693" s="70"/>
    </row>
    <row r="694" spans="7:25" ht="13.2"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S694" s="70"/>
      <c r="T694" s="70"/>
      <c r="U694" s="70"/>
      <c r="V694" s="70"/>
      <c r="W694" s="70"/>
      <c r="X694" s="70"/>
      <c r="Y694" s="70"/>
    </row>
    <row r="695" spans="7:25" ht="13.2"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S695" s="70"/>
      <c r="T695" s="70"/>
      <c r="U695" s="70"/>
      <c r="V695" s="70"/>
      <c r="W695" s="70"/>
      <c r="X695" s="70"/>
      <c r="Y695" s="70"/>
    </row>
    <row r="696" spans="7:25" ht="13.2"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S696" s="70"/>
      <c r="T696" s="70"/>
      <c r="U696" s="70"/>
      <c r="V696" s="70"/>
      <c r="W696" s="70"/>
      <c r="X696" s="70"/>
      <c r="Y696" s="70"/>
    </row>
    <row r="697" spans="7:25" ht="13.2"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S697" s="70"/>
      <c r="T697" s="70"/>
      <c r="U697" s="70"/>
      <c r="V697" s="70"/>
      <c r="W697" s="70"/>
      <c r="X697" s="70"/>
      <c r="Y697" s="70"/>
    </row>
    <row r="698" spans="7:25" ht="13.2"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S698" s="70"/>
      <c r="T698" s="70"/>
      <c r="U698" s="70"/>
      <c r="V698" s="70"/>
      <c r="W698" s="70"/>
      <c r="X698" s="70"/>
      <c r="Y698" s="70"/>
    </row>
    <row r="699" spans="7:25" ht="13.2"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S699" s="70"/>
      <c r="T699" s="70"/>
      <c r="U699" s="70"/>
      <c r="V699" s="70"/>
      <c r="W699" s="70"/>
      <c r="X699" s="70"/>
      <c r="Y699" s="70"/>
    </row>
    <row r="700" spans="7:25" ht="13.2"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S700" s="70"/>
      <c r="T700" s="70"/>
      <c r="U700" s="70"/>
      <c r="V700" s="70"/>
      <c r="W700" s="70"/>
      <c r="X700" s="70"/>
      <c r="Y700" s="70"/>
    </row>
    <row r="701" spans="7:25" ht="13.2"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S701" s="70"/>
      <c r="T701" s="70"/>
      <c r="U701" s="70"/>
      <c r="V701" s="70"/>
      <c r="W701" s="70"/>
      <c r="X701" s="70"/>
      <c r="Y701" s="70"/>
    </row>
    <row r="702" spans="7:25" ht="13.2"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S702" s="70"/>
      <c r="T702" s="70"/>
      <c r="U702" s="70"/>
      <c r="V702" s="70"/>
      <c r="W702" s="70"/>
      <c r="X702" s="70"/>
      <c r="Y702" s="70"/>
    </row>
    <row r="703" spans="7:25" ht="13.2"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S703" s="70"/>
      <c r="T703" s="70"/>
      <c r="U703" s="70"/>
      <c r="V703" s="70"/>
      <c r="W703" s="70"/>
      <c r="X703" s="70"/>
      <c r="Y703" s="70"/>
    </row>
    <row r="704" spans="7:25" ht="13.2"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S704" s="70"/>
      <c r="T704" s="70"/>
      <c r="U704" s="70"/>
      <c r="V704" s="70"/>
      <c r="W704" s="70"/>
      <c r="X704" s="70"/>
      <c r="Y704" s="70"/>
    </row>
    <row r="705" spans="7:25" ht="13.2"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S705" s="70"/>
      <c r="T705" s="70"/>
      <c r="U705" s="70"/>
      <c r="V705" s="70"/>
      <c r="W705" s="70"/>
      <c r="X705" s="70"/>
      <c r="Y705" s="70"/>
    </row>
    <row r="706" spans="7:25" ht="13.2"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S706" s="70"/>
      <c r="T706" s="70"/>
      <c r="U706" s="70"/>
      <c r="V706" s="70"/>
      <c r="W706" s="70"/>
      <c r="X706" s="70"/>
      <c r="Y706" s="70"/>
    </row>
    <row r="707" spans="7:25" ht="13.2"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S707" s="70"/>
      <c r="T707" s="70"/>
      <c r="U707" s="70"/>
      <c r="V707" s="70"/>
      <c r="W707" s="70"/>
      <c r="X707" s="70"/>
      <c r="Y707" s="70"/>
    </row>
    <row r="708" spans="7:25" ht="13.2"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S708" s="70"/>
      <c r="T708" s="70"/>
      <c r="U708" s="70"/>
      <c r="V708" s="70"/>
      <c r="W708" s="70"/>
      <c r="X708" s="70"/>
      <c r="Y708" s="70"/>
    </row>
    <row r="709" spans="7:25" ht="13.2"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S709" s="70"/>
      <c r="T709" s="70"/>
      <c r="U709" s="70"/>
      <c r="V709" s="70"/>
      <c r="W709" s="70"/>
      <c r="X709" s="70"/>
      <c r="Y709" s="70"/>
    </row>
    <row r="710" spans="7:25" ht="13.2"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S710" s="70"/>
      <c r="T710" s="70"/>
      <c r="U710" s="70"/>
      <c r="V710" s="70"/>
      <c r="W710" s="70"/>
      <c r="X710" s="70"/>
      <c r="Y710" s="70"/>
    </row>
    <row r="711" spans="7:25" ht="13.2"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S711" s="70"/>
      <c r="T711" s="70"/>
      <c r="U711" s="70"/>
      <c r="V711" s="70"/>
      <c r="W711" s="70"/>
      <c r="X711" s="70"/>
      <c r="Y711" s="70"/>
    </row>
    <row r="712" spans="7:25" ht="13.2"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S712" s="70"/>
      <c r="T712" s="70"/>
      <c r="U712" s="70"/>
      <c r="V712" s="70"/>
      <c r="W712" s="70"/>
      <c r="X712" s="70"/>
      <c r="Y712" s="70"/>
    </row>
    <row r="713" spans="7:25" ht="13.2"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S713" s="70"/>
      <c r="T713" s="70"/>
      <c r="U713" s="70"/>
      <c r="V713" s="70"/>
      <c r="W713" s="70"/>
      <c r="X713" s="70"/>
      <c r="Y713" s="70"/>
    </row>
    <row r="714" spans="7:25" ht="13.2"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S714" s="70"/>
      <c r="T714" s="70"/>
      <c r="U714" s="70"/>
      <c r="V714" s="70"/>
      <c r="W714" s="70"/>
      <c r="X714" s="70"/>
      <c r="Y714" s="70"/>
    </row>
    <row r="715" spans="7:25" ht="13.2"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S715" s="70"/>
      <c r="T715" s="70"/>
      <c r="U715" s="70"/>
      <c r="V715" s="70"/>
      <c r="W715" s="70"/>
      <c r="X715" s="70"/>
      <c r="Y715" s="70"/>
    </row>
    <row r="716" spans="7:25" ht="13.2"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S716" s="70"/>
      <c r="T716" s="70"/>
      <c r="U716" s="70"/>
      <c r="V716" s="70"/>
      <c r="W716" s="70"/>
      <c r="X716" s="70"/>
      <c r="Y716" s="70"/>
    </row>
    <row r="717" spans="7:25" ht="13.2"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S717" s="70"/>
      <c r="T717" s="70"/>
      <c r="U717" s="70"/>
      <c r="V717" s="70"/>
      <c r="W717" s="70"/>
      <c r="X717" s="70"/>
      <c r="Y717" s="70"/>
    </row>
    <row r="718" spans="7:25" ht="13.2"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S718" s="70"/>
      <c r="T718" s="70"/>
      <c r="U718" s="70"/>
      <c r="V718" s="70"/>
      <c r="W718" s="70"/>
      <c r="X718" s="70"/>
      <c r="Y718" s="70"/>
    </row>
    <row r="719" spans="7:25" ht="13.2"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S719" s="70"/>
      <c r="T719" s="70"/>
      <c r="U719" s="70"/>
      <c r="V719" s="70"/>
      <c r="W719" s="70"/>
      <c r="X719" s="70"/>
      <c r="Y719" s="70"/>
    </row>
    <row r="720" spans="7:25" ht="13.2"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S720" s="70"/>
      <c r="T720" s="70"/>
      <c r="U720" s="70"/>
      <c r="V720" s="70"/>
      <c r="W720" s="70"/>
      <c r="X720" s="70"/>
      <c r="Y720" s="70"/>
    </row>
    <row r="721" spans="7:25" ht="13.2"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S721" s="70"/>
      <c r="T721" s="70"/>
      <c r="U721" s="70"/>
      <c r="V721" s="70"/>
      <c r="W721" s="70"/>
      <c r="X721" s="70"/>
      <c r="Y721" s="70"/>
    </row>
    <row r="722" spans="7:25" ht="13.2"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S722" s="70"/>
      <c r="T722" s="70"/>
      <c r="U722" s="70"/>
      <c r="V722" s="70"/>
      <c r="W722" s="70"/>
      <c r="X722" s="70"/>
      <c r="Y722" s="70"/>
    </row>
    <row r="723" spans="7:25" ht="13.2"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S723" s="70"/>
      <c r="T723" s="70"/>
      <c r="U723" s="70"/>
      <c r="V723" s="70"/>
      <c r="W723" s="70"/>
      <c r="X723" s="70"/>
      <c r="Y723" s="70"/>
    </row>
    <row r="724" spans="7:25" ht="13.2"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S724" s="70"/>
      <c r="T724" s="70"/>
      <c r="U724" s="70"/>
      <c r="V724" s="70"/>
      <c r="W724" s="70"/>
      <c r="X724" s="70"/>
      <c r="Y724" s="70"/>
    </row>
    <row r="725" spans="7:25" ht="13.2"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S725" s="70"/>
      <c r="T725" s="70"/>
      <c r="U725" s="70"/>
      <c r="V725" s="70"/>
      <c r="W725" s="70"/>
      <c r="X725" s="70"/>
      <c r="Y725" s="70"/>
    </row>
    <row r="726" spans="7:25" ht="13.2"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S726" s="70"/>
      <c r="T726" s="70"/>
      <c r="U726" s="70"/>
      <c r="V726" s="70"/>
      <c r="W726" s="70"/>
      <c r="X726" s="70"/>
      <c r="Y726" s="70"/>
    </row>
    <row r="727" spans="7:25" ht="13.2"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S727" s="70"/>
      <c r="T727" s="70"/>
      <c r="U727" s="70"/>
      <c r="V727" s="70"/>
      <c r="W727" s="70"/>
      <c r="X727" s="70"/>
      <c r="Y727" s="70"/>
    </row>
    <row r="728" spans="7:25" ht="13.2"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S728" s="70"/>
      <c r="T728" s="70"/>
      <c r="U728" s="70"/>
      <c r="V728" s="70"/>
      <c r="W728" s="70"/>
      <c r="X728" s="70"/>
      <c r="Y728" s="70"/>
    </row>
    <row r="729" spans="7:25" ht="13.2"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S729" s="70"/>
      <c r="T729" s="70"/>
      <c r="U729" s="70"/>
      <c r="V729" s="70"/>
      <c r="W729" s="70"/>
      <c r="X729" s="70"/>
      <c r="Y729" s="70"/>
    </row>
    <row r="730" spans="7:25" ht="13.2"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S730" s="70"/>
      <c r="T730" s="70"/>
      <c r="U730" s="70"/>
      <c r="V730" s="70"/>
      <c r="W730" s="70"/>
      <c r="X730" s="70"/>
      <c r="Y730" s="70"/>
    </row>
    <row r="731" spans="7:25" ht="13.2"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S731" s="70"/>
      <c r="T731" s="70"/>
      <c r="U731" s="70"/>
      <c r="V731" s="70"/>
      <c r="W731" s="70"/>
      <c r="X731" s="70"/>
      <c r="Y731" s="70"/>
    </row>
    <row r="732" spans="7:25" ht="13.2"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S732" s="70"/>
      <c r="T732" s="70"/>
      <c r="U732" s="70"/>
      <c r="V732" s="70"/>
      <c r="W732" s="70"/>
      <c r="X732" s="70"/>
      <c r="Y732" s="70"/>
    </row>
    <row r="733" spans="7:25" ht="13.2"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S733" s="70"/>
      <c r="T733" s="70"/>
      <c r="U733" s="70"/>
      <c r="V733" s="70"/>
      <c r="W733" s="70"/>
      <c r="X733" s="70"/>
      <c r="Y733" s="70"/>
    </row>
    <row r="734" spans="7:25" ht="13.2"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S734" s="70"/>
      <c r="T734" s="70"/>
      <c r="U734" s="70"/>
      <c r="V734" s="70"/>
      <c r="W734" s="70"/>
      <c r="X734" s="70"/>
      <c r="Y734" s="70"/>
    </row>
    <row r="735" spans="7:25" ht="13.2"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S735" s="70"/>
      <c r="T735" s="70"/>
      <c r="U735" s="70"/>
      <c r="V735" s="70"/>
      <c r="W735" s="70"/>
      <c r="X735" s="70"/>
      <c r="Y735" s="70"/>
    </row>
    <row r="736" spans="7:25" ht="13.2"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S736" s="70"/>
      <c r="T736" s="70"/>
      <c r="U736" s="70"/>
      <c r="V736" s="70"/>
      <c r="W736" s="70"/>
      <c r="X736" s="70"/>
      <c r="Y736" s="70"/>
    </row>
    <row r="737" spans="7:25" ht="13.2"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S737" s="70"/>
      <c r="T737" s="70"/>
      <c r="U737" s="70"/>
      <c r="V737" s="70"/>
      <c r="W737" s="70"/>
      <c r="X737" s="70"/>
      <c r="Y737" s="70"/>
    </row>
    <row r="738" spans="7:25" ht="13.2"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S738" s="70"/>
      <c r="T738" s="70"/>
      <c r="U738" s="70"/>
      <c r="V738" s="70"/>
      <c r="W738" s="70"/>
      <c r="X738" s="70"/>
      <c r="Y738" s="70"/>
    </row>
    <row r="739" spans="7:25" ht="13.2"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S739" s="70"/>
      <c r="T739" s="70"/>
      <c r="U739" s="70"/>
      <c r="V739" s="70"/>
      <c r="W739" s="70"/>
      <c r="X739" s="70"/>
      <c r="Y739" s="70"/>
    </row>
    <row r="740" spans="7:25" ht="13.2"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S740" s="70"/>
      <c r="T740" s="70"/>
      <c r="U740" s="70"/>
      <c r="V740" s="70"/>
      <c r="W740" s="70"/>
      <c r="X740" s="70"/>
      <c r="Y740" s="70"/>
    </row>
    <row r="741" spans="7:25" ht="13.2"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S741" s="70"/>
      <c r="T741" s="70"/>
      <c r="U741" s="70"/>
      <c r="V741" s="70"/>
      <c r="W741" s="70"/>
      <c r="X741" s="70"/>
      <c r="Y741" s="70"/>
    </row>
    <row r="742" spans="7:25" ht="13.2"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S742" s="70"/>
      <c r="T742" s="70"/>
      <c r="U742" s="70"/>
      <c r="V742" s="70"/>
      <c r="W742" s="70"/>
      <c r="X742" s="70"/>
      <c r="Y742" s="70"/>
    </row>
    <row r="743" spans="7:25" ht="13.2"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S743" s="70"/>
      <c r="T743" s="70"/>
      <c r="U743" s="70"/>
      <c r="V743" s="70"/>
      <c r="W743" s="70"/>
      <c r="X743" s="70"/>
      <c r="Y743" s="70"/>
    </row>
    <row r="744" spans="7:25" ht="13.2"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S744" s="70"/>
      <c r="T744" s="70"/>
      <c r="U744" s="70"/>
      <c r="V744" s="70"/>
      <c r="W744" s="70"/>
      <c r="X744" s="70"/>
      <c r="Y744" s="70"/>
    </row>
    <row r="745" spans="7:25" ht="13.2"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S745" s="70"/>
      <c r="T745" s="70"/>
      <c r="U745" s="70"/>
      <c r="V745" s="70"/>
      <c r="W745" s="70"/>
      <c r="X745" s="70"/>
      <c r="Y745" s="70"/>
    </row>
    <row r="746" spans="7:25" ht="13.2"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S746" s="70"/>
      <c r="T746" s="70"/>
      <c r="U746" s="70"/>
      <c r="V746" s="70"/>
      <c r="W746" s="70"/>
      <c r="X746" s="70"/>
      <c r="Y746" s="70"/>
    </row>
    <row r="747" spans="7:25" ht="13.2"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S747" s="70"/>
      <c r="T747" s="70"/>
      <c r="U747" s="70"/>
      <c r="V747" s="70"/>
      <c r="W747" s="70"/>
      <c r="X747" s="70"/>
      <c r="Y747" s="70"/>
    </row>
    <row r="748" spans="7:25" ht="13.2"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S748" s="70"/>
      <c r="T748" s="70"/>
      <c r="U748" s="70"/>
      <c r="V748" s="70"/>
      <c r="W748" s="70"/>
      <c r="X748" s="70"/>
      <c r="Y748" s="70"/>
    </row>
    <row r="749" spans="7:25" ht="13.2"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S749" s="70"/>
      <c r="T749" s="70"/>
      <c r="U749" s="70"/>
      <c r="V749" s="70"/>
      <c r="W749" s="70"/>
      <c r="X749" s="70"/>
      <c r="Y749" s="70"/>
    </row>
    <row r="750" spans="7:25" ht="13.2"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S750" s="70"/>
      <c r="T750" s="70"/>
      <c r="U750" s="70"/>
      <c r="V750" s="70"/>
      <c r="W750" s="70"/>
      <c r="X750" s="70"/>
      <c r="Y750" s="70"/>
    </row>
    <row r="751" spans="7:25" ht="13.2"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S751" s="70"/>
      <c r="T751" s="70"/>
      <c r="U751" s="70"/>
      <c r="V751" s="70"/>
      <c r="W751" s="70"/>
      <c r="X751" s="70"/>
      <c r="Y751" s="70"/>
    </row>
    <row r="752" spans="7:25" ht="13.2"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S752" s="70"/>
      <c r="T752" s="70"/>
      <c r="U752" s="70"/>
      <c r="V752" s="70"/>
      <c r="W752" s="70"/>
      <c r="X752" s="70"/>
      <c r="Y752" s="70"/>
    </row>
    <row r="753" spans="7:25" ht="13.2"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S753" s="70"/>
      <c r="T753" s="70"/>
      <c r="U753" s="70"/>
      <c r="V753" s="70"/>
      <c r="W753" s="70"/>
      <c r="X753" s="70"/>
      <c r="Y753" s="70"/>
    </row>
    <row r="754" spans="7:25" ht="13.2"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S754" s="70"/>
      <c r="T754" s="70"/>
      <c r="U754" s="70"/>
      <c r="V754" s="70"/>
      <c r="W754" s="70"/>
      <c r="X754" s="70"/>
      <c r="Y754" s="70"/>
    </row>
    <row r="755" spans="7:25" ht="13.2"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S755" s="70"/>
      <c r="T755" s="70"/>
      <c r="U755" s="70"/>
      <c r="V755" s="70"/>
      <c r="W755" s="70"/>
      <c r="X755" s="70"/>
      <c r="Y755" s="70"/>
    </row>
    <row r="756" spans="7:25" ht="13.2"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S756" s="70"/>
      <c r="T756" s="70"/>
      <c r="U756" s="70"/>
      <c r="V756" s="70"/>
      <c r="W756" s="70"/>
      <c r="X756" s="70"/>
      <c r="Y756" s="70"/>
    </row>
    <row r="757" spans="7:25" ht="13.2"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S757" s="70"/>
      <c r="T757" s="70"/>
      <c r="U757" s="70"/>
      <c r="V757" s="70"/>
      <c r="W757" s="70"/>
      <c r="X757" s="70"/>
      <c r="Y757" s="70"/>
    </row>
    <row r="758" spans="7:25" ht="13.2"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S758" s="70"/>
      <c r="T758" s="70"/>
      <c r="U758" s="70"/>
      <c r="V758" s="70"/>
      <c r="W758" s="70"/>
      <c r="X758" s="70"/>
      <c r="Y758" s="70"/>
    </row>
    <row r="759" spans="7:25" ht="13.2"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S759" s="70"/>
      <c r="T759" s="70"/>
      <c r="U759" s="70"/>
      <c r="V759" s="70"/>
      <c r="W759" s="70"/>
      <c r="X759" s="70"/>
      <c r="Y759" s="70"/>
    </row>
    <row r="760" spans="7:25" ht="13.2"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S760" s="70"/>
      <c r="T760" s="70"/>
      <c r="U760" s="70"/>
      <c r="V760" s="70"/>
      <c r="W760" s="70"/>
      <c r="X760" s="70"/>
      <c r="Y760" s="70"/>
    </row>
    <row r="761" spans="7:25" ht="13.2"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S761" s="70"/>
      <c r="T761" s="70"/>
      <c r="U761" s="70"/>
      <c r="V761" s="70"/>
      <c r="W761" s="70"/>
      <c r="X761" s="70"/>
      <c r="Y761" s="70"/>
    </row>
    <row r="762" spans="7:25" ht="13.2"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S762" s="70"/>
      <c r="T762" s="70"/>
      <c r="U762" s="70"/>
      <c r="V762" s="70"/>
      <c r="W762" s="70"/>
      <c r="X762" s="70"/>
      <c r="Y762" s="70"/>
    </row>
    <row r="763" spans="7:25" ht="13.2"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S763" s="70"/>
      <c r="T763" s="70"/>
      <c r="U763" s="70"/>
      <c r="V763" s="70"/>
      <c r="W763" s="70"/>
      <c r="X763" s="70"/>
      <c r="Y763" s="70"/>
    </row>
    <row r="764" spans="7:25" ht="13.2"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S764" s="70"/>
      <c r="T764" s="70"/>
      <c r="U764" s="70"/>
      <c r="V764" s="70"/>
      <c r="W764" s="70"/>
      <c r="X764" s="70"/>
      <c r="Y764" s="70"/>
    </row>
    <row r="765" spans="7:25" ht="13.2"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S765" s="70"/>
      <c r="T765" s="70"/>
      <c r="U765" s="70"/>
      <c r="V765" s="70"/>
      <c r="W765" s="70"/>
      <c r="X765" s="70"/>
      <c r="Y765" s="70"/>
    </row>
    <row r="766" spans="7:25" ht="13.2"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S766" s="70"/>
      <c r="T766" s="70"/>
      <c r="U766" s="70"/>
      <c r="V766" s="70"/>
      <c r="W766" s="70"/>
      <c r="X766" s="70"/>
      <c r="Y766" s="70"/>
    </row>
    <row r="767" spans="7:25" ht="13.2"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S767" s="70"/>
      <c r="T767" s="70"/>
      <c r="U767" s="70"/>
      <c r="V767" s="70"/>
      <c r="W767" s="70"/>
      <c r="X767" s="70"/>
      <c r="Y767" s="70"/>
    </row>
    <row r="768" spans="7:25" ht="13.2"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S768" s="70"/>
      <c r="T768" s="70"/>
      <c r="U768" s="70"/>
      <c r="V768" s="70"/>
      <c r="W768" s="70"/>
      <c r="X768" s="70"/>
      <c r="Y768" s="70"/>
    </row>
    <row r="769" spans="7:25" ht="13.2"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S769" s="70"/>
      <c r="T769" s="70"/>
      <c r="U769" s="70"/>
      <c r="V769" s="70"/>
      <c r="W769" s="70"/>
      <c r="X769" s="70"/>
      <c r="Y769" s="70"/>
    </row>
    <row r="770" spans="7:25" ht="13.2"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S770" s="70"/>
      <c r="T770" s="70"/>
      <c r="U770" s="70"/>
      <c r="V770" s="70"/>
      <c r="W770" s="70"/>
      <c r="X770" s="70"/>
      <c r="Y770" s="70"/>
    </row>
    <row r="771" spans="7:25" ht="13.2"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S771" s="70"/>
      <c r="T771" s="70"/>
      <c r="U771" s="70"/>
      <c r="V771" s="70"/>
      <c r="W771" s="70"/>
      <c r="X771" s="70"/>
      <c r="Y771" s="70"/>
    </row>
    <row r="772" spans="7:25" ht="13.2"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S772" s="70"/>
      <c r="T772" s="70"/>
      <c r="U772" s="70"/>
      <c r="V772" s="70"/>
      <c r="W772" s="70"/>
      <c r="X772" s="70"/>
      <c r="Y772" s="70"/>
    </row>
    <row r="773" spans="7:25" ht="13.2"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S773" s="70"/>
      <c r="T773" s="70"/>
      <c r="U773" s="70"/>
      <c r="V773" s="70"/>
      <c r="W773" s="70"/>
      <c r="X773" s="70"/>
      <c r="Y773" s="70"/>
    </row>
    <row r="774" spans="7:25" ht="13.2"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S774" s="70"/>
      <c r="T774" s="70"/>
      <c r="U774" s="70"/>
      <c r="V774" s="70"/>
      <c r="W774" s="70"/>
      <c r="X774" s="70"/>
      <c r="Y774" s="70"/>
    </row>
    <row r="775" spans="7:25" ht="13.2"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S775" s="70"/>
      <c r="T775" s="70"/>
      <c r="U775" s="70"/>
      <c r="V775" s="70"/>
      <c r="W775" s="70"/>
      <c r="X775" s="70"/>
      <c r="Y775" s="70"/>
    </row>
    <row r="776" spans="7:25" ht="13.2"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S776" s="70"/>
      <c r="T776" s="70"/>
      <c r="U776" s="70"/>
      <c r="V776" s="70"/>
      <c r="W776" s="70"/>
      <c r="X776" s="70"/>
      <c r="Y776" s="70"/>
    </row>
    <row r="777" spans="7:25" ht="13.2"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S777" s="70"/>
      <c r="T777" s="70"/>
      <c r="U777" s="70"/>
      <c r="V777" s="70"/>
      <c r="W777" s="70"/>
      <c r="X777" s="70"/>
      <c r="Y777" s="70"/>
    </row>
    <row r="778" spans="7:25" ht="13.2"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S778" s="70"/>
      <c r="T778" s="70"/>
      <c r="U778" s="70"/>
      <c r="V778" s="70"/>
      <c r="W778" s="70"/>
      <c r="X778" s="70"/>
      <c r="Y778" s="70"/>
    </row>
    <row r="779" spans="7:25" ht="13.2"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S779" s="70"/>
      <c r="T779" s="70"/>
      <c r="U779" s="70"/>
      <c r="V779" s="70"/>
      <c r="W779" s="70"/>
      <c r="X779" s="70"/>
      <c r="Y779" s="70"/>
    </row>
    <row r="780" spans="7:25" ht="13.2"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S780" s="70"/>
      <c r="T780" s="70"/>
      <c r="U780" s="70"/>
      <c r="V780" s="70"/>
      <c r="W780" s="70"/>
      <c r="X780" s="70"/>
      <c r="Y780" s="70"/>
    </row>
    <row r="781" spans="7:25" ht="13.2"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S781" s="70"/>
      <c r="T781" s="70"/>
      <c r="U781" s="70"/>
      <c r="V781" s="70"/>
      <c r="W781" s="70"/>
      <c r="X781" s="70"/>
      <c r="Y781" s="70"/>
    </row>
    <row r="782" spans="7:25" ht="13.2"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S782" s="70"/>
      <c r="T782" s="70"/>
      <c r="U782" s="70"/>
      <c r="V782" s="70"/>
      <c r="W782" s="70"/>
      <c r="X782" s="70"/>
      <c r="Y782" s="70"/>
    </row>
    <row r="783" spans="7:25" ht="13.2"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S783" s="70"/>
      <c r="T783" s="70"/>
      <c r="U783" s="70"/>
      <c r="V783" s="70"/>
      <c r="W783" s="70"/>
      <c r="X783" s="70"/>
      <c r="Y783" s="70"/>
    </row>
    <row r="784" spans="7:25" ht="13.2"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S784" s="70"/>
      <c r="T784" s="70"/>
      <c r="U784" s="70"/>
      <c r="V784" s="70"/>
      <c r="W784" s="70"/>
      <c r="X784" s="70"/>
      <c r="Y784" s="70"/>
    </row>
    <row r="785" spans="7:25" ht="13.2"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S785" s="70"/>
      <c r="T785" s="70"/>
      <c r="U785" s="70"/>
      <c r="V785" s="70"/>
      <c r="W785" s="70"/>
      <c r="X785" s="70"/>
      <c r="Y785" s="70"/>
    </row>
    <row r="786" spans="7:25" ht="13.2"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S786" s="70"/>
      <c r="T786" s="70"/>
      <c r="U786" s="70"/>
      <c r="V786" s="70"/>
      <c r="W786" s="70"/>
      <c r="X786" s="70"/>
      <c r="Y786" s="70"/>
    </row>
    <row r="787" spans="7:25" ht="13.2"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S787" s="70"/>
      <c r="T787" s="70"/>
      <c r="U787" s="70"/>
      <c r="V787" s="70"/>
      <c r="W787" s="70"/>
      <c r="X787" s="70"/>
      <c r="Y787" s="70"/>
    </row>
    <row r="788" spans="7:25" ht="13.2"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S788" s="70"/>
      <c r="T788" s="70"/>
      <c r="U788" s="70"/>
      <c r="V788" s="70"/>
      <c r="W788" s="70"/>
      <c r="X788" s="70"/>
      <c r="Y788" s="70"/>
    </row>
    <row r="789" spans="7:25" ht="13.2"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S789" s="70"/>
      <c r="T789" s="70"/>
      <c r="U789" s="70"/>
      <c r="V789" s="70"/>
      <c r="W789" s="70"/>
      <c r="X789" s="70"/>
      <c r="Y789" s="70"/>
    </row>
    <row r="790" spans="7:25" ht="13.2"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S790" s="70"/>
      <c r="T790" s="70"/>
      <c r="U790" s="70"/>
      <c r="V790" s="70"/>
      <c r="W790" s="70"/>
      <c r="X790" s="70"/>
      <c r="Y790" s="70"/>
    </row>
    <row r="791" spans="7:25" ht="13.2"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S791" s="70"/>
      <c r="T791" s="70"/>
      <c r="U791" s="70"/>
      <c r="V791" s="70"/>
      <c r="W791" s="70"/>
      <c r="X791" s="70"/>
      <c r="Y791" s="70"/>
    </row>
    <row r="792" spans="7:25" ht="13.2"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S792" s="70"/>
      <c r="T792" s="70"/>
      <c r="U792" s="70"/>
      <c r="V792" s="70"/>
      <c r="W792" s="70"/>
      <c r="X792" s="70"/>
      <c r="Y792" s="70"/>
    </row>
    <row r="793" spans="7:25" ht="13.2"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S793" s="70"/>
      <c r="T793" s="70"/>
      <c r="U793" s="70"/>
      <c r="V793" s="70"/>
      <c r="W793" s="70"/>
      <c r="X793" s="70"/>
      <c r="Y793" s="70"/>
    </row>
    <row r="794" spans="7:25" ht="13.2"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S794" s="70"/>
      <c r="T794" s="70"/>
      <c r="U794" s="70"/>
      <c r="V794" s="70"/>
      <c r="W794" s="70"/>
      <c r="X794" s="70"/>
      <c r="Y794" s="70"/>
    </row>
    <row r="795" spans="7:25" ht="13.2"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S795" s="70"/>
      <c r="T795" s="70"/>
      <c r="U795" s="70"/>
      <c r="V795" s="70"/>
      <c r="W795" s="70"/>
      <c r="X795" s="70"/>
      <c r="Y795" s="70"/>
    </row>
    <row r="796" spans="7:25" ht="13.2"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S796" s="70"/>
      <c r="T796" s="70"/>
      <c r="U796" s="70"/>
      <c r="V796" s="70"/>
      <c r="W796" s="70"/>
      <c r="X796" s="70"/>
      <c r="Y796" s="70"/>
    </row>
    <row r="797" spans="7:25" ht="13.2"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S797" s="70"/>
      <c r="T797" s="70"/>
      <c r="U797" s="70"/>
      <c r="V797" s="70"/>
      <c r="W797" s="70"/>
      <c r="X797" s="70"/>
      <c r="Y797" s="70"/>
    </row>
    <row r="798" spans="7:25" ht="13.2"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S798" s="70"/>
      <c r="T798" s="70"/>
      <c r="U798" s="70"/>
      <c r="V798" s="70"/>
      <c r="W798" s="70"/>
      <c r="X798" s="70"/>
      <c r="Y798" s="70"/>
    </row>
    <row r="799" spans="7:25" ht="13.2"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S799" s="70"/>
      <c r="T799" s="70"/>
      <c r="U799" s="70"/>
      <c r="V799" s="70"/>
      <c r="W799" s="70"/>
      <c r="X799" s="70"/>
      <c r="Y799" s="70"/>
    </row>
    <row r="800" spans="7:25" ht="13.2"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S800" s="70"/>
      <c r="T800" s="70"/>
      <c r="U800" s="70"/>
      <c r="V800" s="70"/>
      <c r="W800" s="70"/>
      <c r="X800" s="70"/>
      <c r="Y800" s="70"/>
    </row>
    <row r="801" spans="7:25" ht="13.2"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S801" s="70"/>
      <c r="T801" s="70"/>
      <c r="U801" s="70"/>
      <c r="V801" s="70"/>
      <c r="W801" s="70"/>
      <c r="X801" s="70"/>
      <c r="Y801" s="70"/>
    </row>
    <row r="802" spans="7:25" ht="13.2"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S802" s="70"/>
      <c r="T802" s="70"/>
      <c r="U802" s="70"/>
      <c r="V802" s="70"/>
      <c r="W802" s="70"/>
      <c r="X802" s="70"/>
      <c r="Y802" s="70"/>
    </row>
    <row r="803" spans="7:25" ht="13.2"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S803" s="70"/>
      <c r="T803" s="70"/>
      <c r="U803" s="70"/>
      <c r="V803" s="70"/>
      <c r="W803" s="70"/>
      <c r="X803" s="70"/>
      <c r="Y803" s="70"/>
    </row>
    <row r="804" spans="7:25" ht="13.2"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S804" s="70"/>
      <c r="T804" s="70"/>
      <c r="U804" s="70"/>
      <c r="V804" s="70"/>
      <c r="W804" s="70"/>
      <c r="X804" s="70"/>
      <c r="Y804" s="70"/>
    </row>
    <row r="805" spans="7:25" ht="13.2"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S805" s="70"/>
      <c r="T805" s="70"/>
      <c r="U805" s="70"/>
      <c r="V805" s="70"/>
      <c r="W805" s="70"/>
      <c r="X805" s="70"/>
      <c r="Y805" s="70"/>
    </row>
    <row r="806" spans="7:25" ht="13.2"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S806" s="70"/>
      <c r="T806" s="70"/>
      <c r="U806" s="70"/>
      <c r="V806" s="70"/>
      <c r="W806" s="70"/>
      <c r="X806" s="70"/>
      <c r="Y806" s="70"/>
    </row>
    <row r="807" spans="7:25" ht="13.2"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S807" s="70"/>
      <c r="T807" s="70"/>
      <c r="U807" s="70"/>
      <c r="V807" s="70"/>
      <c r="W807" s="70"/>
      <c r="X807" s="70"/>
      <c r="Y807" s="70"/>
    </row>
    <row r="808" spans="7:25" ht="13.2"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S808" s="70"/>
      <c r="T808" s="70"/>
      <c r="U808" s="70"/>
      <c r="V808" s="70"/>
      <c r="W808" s="70"/>
      <c r="X808" s="70"/>
      <c r="Y808" s="70"/>
    </row>
    <row r="809" spans="7:25" ht="13.2"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S809" s="70"/>
      <c r="T809" s="70"/>
      <c r="U809" s="70"/>
      <c r="V809" s="70"/>
      <c r="W809" s="70"/>
      <c r="X809" s="70"/>
      <c r="Y809" s="70"/>
    </row>
    <row r="810" spans="7:25" ht="13.2"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S810" s="70"/>
      <c r="T810" s="70"/>
      <c r="U810" s="70"/>
      <c r="V810" s="70"/>
      <c r="W810" s="70"/>
      <c r="X810" s="70"/>
      <c r="Y810" s="70"/>
    </row>
    <row r="811" spans="7:25" ht="13.2"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S811" s="70"/>
      <c r="T811" s="70"/>
      <c r="U811" s="70"/>
      <c r="V811" s="70"/>
      <c r="W811" s="70"/>
      <c r="X811" s="70"/>
      <c r="Y811" s="70"/>
    </row>
    <row r="812" spans="7:25" ht="13.2"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S812" s="70"/>
      <c r="T812" s="70"/>
      <c r="U812" s="70"/>
      <c r="V812" s="70"/>
      <c r="W812" s="70"/>
      <c r="X812" s="70"/>
      <c r="Y812" s="70"/>
    </row>
    <row r="813" spans="7:25" ht="13.2"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S813" s="70"/>
      <c r="T813" s="70"/>
      <c r="U813" s="70"/>
      <c r="V813" s="70"/>
      <c r="W813" s="70"/>
      <c r="X813" s="70"/>
      <c r="Y813" s="70"/>
    </row>
    <row r="814" spans="7:25" ht="13.2"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S814" s="70"/>
      <c r="T814" s="70"/>
      <c r="U814" s="70"/>
      <c r="V814" s="70"/>
      <c r="W814" s="70"/>
      <c r="X814" s="70"/>
      <c r="Y814" s="70"/>
    </row>
    <row r="815" spans="7:25" ht="13.2"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S815" s="70"/>
      <c r="T815" s="70"/>
      <c r="U815" s="70"/>
      <c r="V815" s="70"/>
      <c r="W815" s="70"/>
      <c r="X815" s="70"/>
      <c r="Y815" s="70"/>
    </row>
    <row r="816" spans="7:25" ht="13.2"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S816" s="70"/>
      <c r="T816" s="70"/>
      <c r="U816" s="70"/>
      <c r="V816" s="70"/>
      <c r="W816" s="70"/>
      <c r="X816" s="70"/>
      <c r="Y816" s="70"/>
    </row>
    <row r="817" spans="7:25" ht="13.2"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S817" s="70"/>
      <c r="T817" s="70"/>
      <c r="U817" s="70"/>
      <c r="V817" s="70"/>
      <c r="W817" s="70"/>
      <c r="X817" s="70"/>
      <c r="Y817" s="70"/>
    </row>
    <row r="818" spans="7:25" ht="13.2"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S818" s="70"/>
      <c r="T818" s="70"/>
      <c r="U818" s="70"/>
      <c r="V818" s="70"/>
      <c r="W818" s="70"/>
      <c r="X818" s="70"/>
      <c r="Y818" s="70"/>
    </row>
    <row r="819" spans="7:25" ht="13.2"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S819" s="70"/>
      <c r="T819" s="70"/>
      <c r="U819" s="70"/>
      <c r="V819" s="70"/>
      <c r="W819" s="70"/>
      <c r="X819" s="70"/>
      <c r="Y819" s="70"/>
    </row>
    <row r="820" spans="7:25" ht="13.2"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S820" s="70"/>
      <c r="T820" s="70"/>
      <c r="U820" s="70"/>
      <c r="V820" s="70"/>
      <c r="W820" s="70"/>
      <c r="X820" s="70"/>
      <c r="Y820" s="70"/>
    </row>
    <row r="821" spans="7:25" ht="13.2"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S821" s="70"/>
      <c r="T821" s="70"/>
      <c r="U821" s="70"/>
      <c r="V821" s="70"/>
      <c r="W821" s="70"/>
      <c r="X821" s="70"/>
      <c r="Y821" s="70"/>
    </row>
    <row r="822" spans="7:25" ht="13.2"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S822" s="70"/>
      <c r="T822" s="70"/>
      <c r="U822" s="70"/>
      <c r="V822" s="70"/>
      <c r="W822" s="70"/>
      <c r="X822" s="70"/>
      <c r="Y822" s="70"/>
    </row>
    <row r="823" spans="7:25" ht="13.2"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S823" s="70"/>
      <c r="T823" s="70"/>
      <c r="U823" s="70"/>
      <c r="V823" s="70"/>
      <c r="W823" s="70"/>
      <c r="X823" s="70"/>
      <c r="Y823" s="70"/>
    </row>
    <row r="824" spans="7:25" ht="13.2"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S824" s="70"/>
      <c r="T824" s="70"/>
      <c r="U824" s="70"/>
      <c r="V824" s="70"/>
      <c r="W824" s="70"/>
      <c r="X824" s="70"/>
      <c r="Y824" s="70"/>
    </row>
    <row r="825" spans="7:25" ht="13.2"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S825" s="70"/>
      <c r="T825" s="70"/>
      <c r="U825" s="70"/>
      <c r="V825" s="70"/>
      <c r="W825" s="70"/>
      <c r="X825" s="70"/>
      <c r="Y825" s="70"/>
    </row>
    <row r="826" spans="7:25" ht="13.2"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S826" s="70"/>
      <c r="T826" s="70"/>
      <c r="U826" s="70"/>
      <c r="V826" s="70"/>
      <c r="W826" s="70"/>
      <c r="X826" s="70"/>
      <c r="Y826" s="70"/>
    </row>
    <row r="827" spans="7:25" ht="13.2"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S827" s="70"/>
      <c r="T827" s="70"/>
      <c r="U827" s="70"/>
      <c r="V827" s="70"/>
      <c r="W827" s="70"/>
      <c r="X827" s="70"/>
      <c r="Y827" s="70"/>
    </row>
    <row r="828" spans="7:25" ht="13.2"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S828" s="70"/>
      <c r="T828" s="70"/>
      <c r="U828" s="70"/>
      <c r="V828" s="70"/>
      <c r="W828" s="70"/>
      <c r="X828" s="70"/>
      <c r="Y828" s="70"/>
    </row>
    <row r="829" spans="7:25" ht="13.2"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S829" s="70"/>
      <c r="T829" s="70"/>
      <c r="U829" s="70"/>
      <c r="V829" s="70"/>
      <c r="W829" s="70"/>
      <c r="X829" s="70"/>
      <c r="Y829" s="70"/>
    </row>
    <row r="830" spans="7:25" ht="13.2"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S830" s="70"/>
      <c r="T830" s="70"/>
      <c r="U830" s="70"/>
      <c r="V830" s="70"/>
      <c r="W830" s="70"/>
      <c r="X830" s="70"/>
      <c r="Y830" s="70"/>
    </row>
    <row r="831" spans="7:25" ht="13.2"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S831" s="70"/>
      <c r="T831" s="70"/>
      <c r="U831" s="70"/>
      <c r="V831" s="70"/>
      <c r="W831" s="70"/>
      <c r="X831" s="70"/>
      <c r="Y831" s="70"/>
    </row>
    <row r="832" spans="7:25" ht="13.2"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S832" s="70"/>
      <c r="T832" s="70"/>
      <c r="U832" s="70"/>
      <c r="V832" s="70"/>
      <c r="W832" s="70"/>
      <c r="X832" s="70"/>
      <c r="Y832" s="70"/>
    </row>
    <row r="833" spans="7:25" ht="13.2"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S833" s="70"/>
      <c r="T833" s="70"/>
      <c r="U833" s="70"/>
      <c r="V833" s="70"/>
      <c r="W833" s="70"/>
      <c r="X833" s="70"/>
      <c r="Y833" s="70"/>
    </row>
    <row r="834" spans="7:25" ht="13.2"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S834" s="70"/>
      <c r="T834" s="70"/>
      <c r="U834" s="70"/>
      <c r="V834" s="70"/>
      <c r="W834" s="70"/>
      <c r="X834" s="70"/>
      <c r="Y834" s="70"/>
    </row>
    <row r="835" spans="7:25" ht="13.2"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S835" s="70"/>
      <c r="T835" s="70"/>
      <c r="U835" s="70"/>
      <c r="V835" s="70"/>
      <c r="W835" s="70"/>
      <c r="X835" s="70"/>
      <c r="Y835" s="70"/>
    </row>
    <row r="836" spans="7:25" ht="13.2"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S836" s="70"/>
      <c r="T836" s="70"/>
      <c r="U836" s="70"/>
      <c r="V836" s="70"/>
      <c r="W836" s="70"/>
      <c r="X836" s="70"/>
      <c r="Y836" s="70"/>
    </row>
    <row r="837" spans="7:25" ht="13.2"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S837" s="70"/>
      <c r="T837" s="70"/>
      <c r="U837" s="70"/>
      <c r="V837" s="70"/>
      <c r="W837" s="70"/>
      <c r="X837" s="70"/>
      <c r="Y837" s="70"/>
    </row>
    <row r="838" spans="7:25" ht="13.2"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S838" s="70"/>
      <c r="T838" s="70"/>
      <c r="U838" s="70"/>
      <c r="V838" s="70"/>
      <c r="W838" s="70"/>
      <c r="X838" s="70"/>
      <c r="Y838" s="70"/>
    </row>
    <row r="839" spans="7:25" ht="13.2"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S839" s="70"/>
      <c r="T839" s="70"/>
      <c r="U839" s="70"/>
      <c r="V839" s="70"/>
      <c r="W839" s="70"/>
      <c r="X839" s="70"/>
      <c r="Y839" s="70"/>
    </row>
    <row r="840" spans="7:25" ht="13.2"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S840" s="70"/>
      <c r="T840" s="70"/>
      <c r="U840" s="70"/>
      <c r="V840" s="70"/>
      <c r="W840" s="70"/>
      <c r="X840" s="70"/>
      <c r="Y840" s="70"/>
    </row>
    <row r="841" spans="7:25" ht="13.2"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S841" s="70"/>
      <c r="T841" s="70"/>
      <c r="U841" s="70"/>
      <c r="V841" s="70"/>
      <c r="W841" s="70"/>
      <c r="X841" s="70"/>
      <c r="Y841" s="70"/>
    </row>
    <row r="842" spans="7:25" ht="13.2"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S842" s="70"/>
      <c r="T842" s="70"/>
      <c r="U842" s="70"/>
      <c r="V842" s="70"/>
      <c r="W842" s="70"/>
      <c r="X842" s="70"/>
      <c r="Y842" s="70"/>
    </row>
    <row r="843" spans="7:25" ht="13.2"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S843" s="70"/>
      <c r="T843" s="70"/>
      <c r="U843" s="70"/>
      <c r="V843" s="70"/>
      <c r="W843" s="70"/>
      <c r="X843" s="70"/>
      <c r="Y843" s="70"/>
    </row>
    <row r="844" spans="7:25" ht="13.2"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S844" s="70"/>
      <c r="T844" s="70"/>
      <c r="U844" s="70"/>
      <c r="V844" s="70"/>
      <c r="W844" s="70"/>
      <c r="X844" s="70"/>
      <c r="Y844" s="70"/>
    </row>
    <row r="845" spans="7:25" ht="13.2"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S845" s="70"/>
      <c r="T845" s="70"/>
      <c r="U845" s="70"/>
      <c r="V845" s="70"/>
      <c r="W845" s="70"/>
      <c r="X845" s="70"/>
      <c r="Y845" s="70"/>
    </row>
    <row r="846" spans="7:25" ht="13.2"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S846" s="70"/>
      <c r="T846" s="70"/>
      <c r="U846" s="70"/>
      <c r="V846" s="70"/>
      <c r="W846" s="70"/>
      <c r="X846" s="70"/>
      <c r="Y846" s="70"/>
    </row>
    <row r="847" spans="7:25" ht="13.2"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S847" s="70"/>
      <c r="T847" s="70"/>
      <c r="U847" s="70"/>
      <c r="V847" s="70"/>
      <c r="W847" s="70"/>
      <c r="X847" s="70"/>
      <c r="Y847" s="70"/>
    </row>
    <row r="848" spans="7:25" ht="13.2"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S848" s="70"/>
      <c r="T848" s="70"/>
      <c r="U848" s="70"/>
      <c r="V848" s="70"/>
      <c r="W848" s="70"/>
      <c r="X848" s="70"/>
      <c r="Y848" s="70"/>
    </row>
    <row r="849" spans="7:25" ht="13.2"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S849" s="70"/>
      <c r="T849" s="70"/>
      <c r="U849" s="70"/>
      <c r="V849" s="70"/>
      <c r="W849" s="70"/>
      <c r="X849" s="70"/>
      <c r="Y849" s="70"/>
    </row>
    <row r="850" spans="7:25" ht="13.2"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S850" s="70"/>
      <c r="T850" s="70"/>
      <c r="U850" s="70"/>
      <c r="V850" s="70"/>
      <c r="W850" s="70"/>
      <c r="X850" s="70"/>
      <c r="Y850" s="70"/>
    </row>
    <row r="851" spans="7:25" ht="13.2"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S851" s="70"/>
      <c r="T851" s="70"/>
      <c r="U851" s="70"/>
      <c r="V851" s="70"/>
      <c r="W851" s="70"/>
      <c r="X851" s="70"/>
      <c r="Y851" s="70"/>
    </row>
    <row r="852" spans="7:25" ht="13.2"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S852" s="70"/>
      <c r="T852" s="70"/>
      <c r="U852" s="70"/>
      <c r="V852" s="70"/>
      <c r="W852" s="70"/>
      <c r="X852" s="70"/>
      <c r="Y852" s="70"/>
    </row>
    <row r="853" spans="7:25" ht="13.2"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S853" s="70"/>
      <c r="T853" s="70"/>
      <c r="U853" s="70"/>
      <c r="V853" s="70"/>
      <c r="W853" s="70"/>
      <c r="X853" s="70"/>
      <c r="Y853" s="70"/>
    </row>
    <row r="854" spans="7:25" ht="13.2"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S854" s="70"/>
      <c r="T854" s="70"/>
      <c r="U854" s="70"/>
      <c r="V854" s="70"/>
      <c r="W854" s="70"/>
      <c r="X854" s="70"/>
      <c r="Y854" s="70"/>
    </row>
    <row r="855" spans="7:25" ht="13.2"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S855" s="70"/>
      <c r="T855" s="70"/>
      <c r="U855" s="70"/>
      <c r="V855" s="70"/>
      <c r="W855" s="70"/>
      <c r="X855" s="70"/>
      <c r="Y855" s="70"/>
    </row>
    <row r="856" spans="7:25" ht="13.2"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S856" s="70"/>
      <c r="T856" s="70"/>
      <c r="U856" s="70"/>
      <c r="V856" s="70"/>
      <c r="W856" s="70"/>
      <c r="X856" s="70"/>
      <c r="Y856" s="70"/>
    </row>
    <row r="857" spans="7:25" ht="13.2"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S857" s="70"/>
      <c r="T857" s="70"/>
      <c r="U857" s="70"/>
      <c r="V857" s="70"/>
      <c r="W857" s="70"/>
      <c r="X857" s="70"/>
      <c r="Y857" s="70"/>
    </row>
    <row r="858" spans="7:25" ht="13.2"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S858" s="70"/>
      <c r="T858" s="70"/>
      <c r="U858" s="70"/>
      <c r="V858" s="70"/>
      <c r="W858" s="70"/>
      <c r="X858" s="70"/>
      <c r="Y858" s="70"/>
    </row>
    <row r="859" spans="7:25" ht="13.2"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S859" s="70"/>
      <c r="T859" s="70"/>
      <c r="U859" s="70"/>
      <c r="V859" s="70"/>
      <c r="W859" s="70"/>
      <c r="X859" s="70"/>
      <c r="Y859" s="70"/>
    </row>
    <row r="860" spans="7:25" ht="13.2"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S860" s="70"/>
      <c r="T860" s="70"/>
      <c r="U860" s="70"/>
      <c r="V860" s="70"/>
      <c r="W860" s="70"/>
      <c r="X860" s="70"/>
      <c r="Y860" s="70"/>
    </row>
    <row r="861" spans="7:25" ht="13.2"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S861" s="70"/>
      <c r="T861" s="70"/>
      <c r="U861" s="70"/>
      <c r="V861" s="70"/>
      <c r="W861" s="70"/>
      <c r="X861" s="70"/>
      <c r="Y861" s="70"/>
    </row>
    <row r="862" spans="7:25" ht="13.2"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S862" s="70"/>
      <c r="T862" s="70"/>
      <c r="U862" s="70"/>
      <c r="V862" s="70"/>
      <c r="W862" s="70"/>
      <c r="X862" s="70"/>
      <c r="Y862" s="70"/>
    </row>
    <row r="863" spans="7:25" ht="13.2"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S863" s="70"/>
      <c r="T863" s="70"/>
      <c r="U863" s="70"/>
      <c r="V863" s="70"/>
      <c r="W863" s="70"/>
      <c r="X863" s="70"/>
      <c r="Y863" s="70"/>
    </row>
    <row r="864" spans="7:25" ht="13.2"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S864" s="70"/>
      <c r="T864" s="70"/>
      <c r="U864" s="70"/>
      <c r="V864" s="70"/>
      <c r="W864" s="70"/>
      <c r="X864" s="70"/>
      <c r="Y864" s="70"/>
    </row>
    <row r="865" spans="7:25" ht="13.2"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S865" s="70"/>
      <c r="T865" s="70"/>
      <c r="U865" s="70"/>
      <c r="V865" s="70"/>
      <c r="W865" s="70"/>
      <c r="X865" s="70"/>
      <c r="Y865" s="70"/>
    </row>
    <row r="866" spans="7:25" ht="13.2"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S866" s="70"/>
      <c r="T866" s="70"/>
      <c r="U866" s="70"/>
      <c r="V866" s="70"/>
      <c r="W866" s="70"/>
      <c r="X866" s="70"/>
      <c r="Y866" s="70"/>
    </row>
    <row r="867" spans="7:25" ht="13.2"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S867" s="70"/>
      <c r="T867" s="70"/>
      <c r="U867" s="70"/>
      <c r="V867" s="70"/>
      <c r="W867" s="70"/>
      <c r="X867" s="70"/>
      <c r="Y867" s="70"/>
    </row>
    <row r="868" spans="7:25" ht="13.2"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S868" s="70"/>
      <c r="T868" s="70"/>
      <c r="U868" s="70"/>
      <c r="V868" s="70"/>
      <c r="W868" s="70"/>
      <c r="X868" s="70"/>
      <c r="Y868" s="70"/>
    </row>
    <row r="869" spans="7:25" ht="13.2"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S869" s="70"/>
      <c r="T869" s="70"/>
      <c r="U869" s="70"/>
      <c r="V869" s="70"/>
      <c r="W869" s="70"/>
      <c r="X869" s="70"/>
      <c r="Y869" s="70"/>
    </row>
    <row r="870" spans="7:25" ht="13.2"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S870" s="70"/>
      <c r="T870" s="70"/>
      <c r="U870" s="70"/>
      <c r="V870" s="70"/>
      <c r="W870" s="70"/>
      <c r="X870" s="70"/>
      <c r="Y870" s="70"/>
    </row>
    <row r="871" spans="7:25" ht="13.2"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S871" s="70"/>
      <c r="T871" s="70"/>
      <c r="U871" s="70"/>
      <c r="V871" s="70"/>
      <c r="W871" s="70"/>
      <c r="X871" s="70"/>
      <c r="Y871" s="70"/>
    </row>
    <row r="872" spans="7:25" ht="13.2"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S872" s="70"/>
      <c r="T872" s="70"/>
      <c r="U872" s="70"/>
      <c r="V872" s="70"/>
      <c r="W872" s="70"/>
      <c r="X872" s="70"/>
      <c r="Y872" s="70"/>
    </row>
    <row r="873" spans="7:25" ht="13.2"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S873" s="70"/>
      <c r="T873" s="70"/>
      <c r="U873" s="70"/>
      <c r="V873" s="70"/>
      <c r="W873" s="70"/>
      <c r="X873" s="70"/>
      <c r="Y873" s="70"/>
    </row>
    <row r="874" spans="7:25" ht="13.2"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S874" s="70"/>
      <c r="T874" s="70"/>
      <c r="U874" s="70"/>
      <c r="V874" s="70"/>
      <c r="W874" s="70"/>
      <c r="X874" s="70"/>
      <c r="Y874" s="70"/>
    </row>
    <row r="875" spans="7:25" ht="13.2"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S875" s="70"/>
      <c r="T875" s="70"/>
      <c r="U875" s="70"/>
      <c r="V875" s="70"/>
      <c r="W875" s="70"/>
      <c r="X875" s="70"/>
      <c r="Y875" s="70"/>
    </row>
    <row r="876" spans="7:25" ht="13.2"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S876" s="70"/>
      <c r="T876" s="70"/>
      <c r="U876" s="70"/>
      <c r="V876" s="70"/>
      <c r="W876" s="70"/>
      <c r="X876" s="70"/>
      <c r="Y876" s="70"/>
    </row>
    <row r="877" spans="7:25" ht="13.2"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S877" s="70"/>
      <c r="T877" s="70"/>
      <c r="U877" s="70"/>
      <c r="V877" s="70"/>
      <c r="W877" s="70"/>
      <c r="X877" s="70"/>
      <c r="Y877" s="70"/>
    </row>
    <row r="878" spans="7:25" ht="13.2"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S878" s="70"/>
      <c r="T878" s="70"/>
      <c r="U878" s="70"/>
      <c r="V878" s="70"/>
      <c r="W878" s="70"/>
      <c r="X878" s="70"/>
      <c r="Y878" s="70"/>
    </row>
    <row r="879" spans="7:25" ht="13.2"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S879" s="70"/>
      <c r="T879" s="70"/>
      <c r="U879" s="70"/>
      <c r="V879" s="70"/>
      <c r="W879" s="70"/>
      <c r="X879" s="70"/>
      <c r="Y879" s="70"/>
    </row>
    <row r="880" spans="7:25" ht="13.2"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S880" s="70"/>
      <c r="T880" s="70"/>
      <c r="U880" s="70"/>
      <c r="V880" s="70"/>
      <c r="W880" s="70"/>
      <c r="X880" s="70"/>
      <c r="Y880" s="70"/>
    </row>
    <row r="881" spans="7:25" ht="13.2"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S881" s="70"/>
      <c r="T881" s="70"/>
      <c r="U881" s="70"/>
      <c r="V881" s="70"/>
      <c r="W881" s="70"/>
      <c r="X881" s="70"/>
      <c r="Y881" s="70"/>
    </row>
    <row r="882" spans="7:25" ht="13.2"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S882" s="70"/>
      <c r="T882" s="70"/>
      <c r="U882" s="70"/>
      <c r="V882" s="70"/>
      <c r="W882" s="70"/>
      <c r="X882" s="70"/>
      <c r="Y882" s="70"/>
    </row>
    <row r="883" spans="7:25" ht="13.2"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S883" s="70"/>
      <c r="T883" s="70"/>
      <c r="U883" s="70"/>
      <c r="V883" s="70"/>
      <c r="W883" s="70"/>
      <c r="X883" s="70"/>
      <c r="Y883" s="70"/>
    </row>
    <row r="884" spans="7:25" ht="13.2"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S884" s="70"/>
      <c r="T884" s="70"/>
      <c r="U884" s="70"/>
      <c r="V884" s="70"/>
      <c r="W884" s="70"/>
      <c r="X884" s="70"/>
      <c r="Y884" s="70"/>
    </row>
    <row r="885" spans="7:25" ht="13.2"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S885" s="70"/>
      <c r="T885" s="70"/>
      <c r="U885" s="70"/>
      <c r="V885" s="70"/>
      <c r="W885" s="70"/>
      <c r="X885" s="70"/>
      <c r="Y885" s="70"/>
    </row>
    <row r="886" spans="7:25" ht="13.2"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S886" s="70"/>
      <c r="T886" s="70"/>
      <c r="U886" s="70"/>
      <c r="V886" s="70"/>
      <c r="W886" s="70"/>
      <c r="X886" s="70"/>
      <c r="Y886" s="70"/>
    </row>
    <row r="887" spans="7:25" ht="13.2"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S887" s="70"/>
      <c r="T887" s="70"/>
      <c r="U887" s="70"/>
      <c r="V887" s="70"/>
      <c r="W887" s="70"/>
      <c r="X887" s="70"/>
      <c r="Y887" s="70"/>
    </row>
    <row r="888" spans="7:25" ht="13.2"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S888" s="70"/>
      <c r="T888" s="70"/>
      <c r="U888" s="70"/>
      <c r="V888" s="70"/>
      <c r="W888" s="70"/>
      <c r="X888" s="70"/>
      <c r="Y888" s="70"/>
    </row>
    <row r="889" spans="7:25" ht="13.2"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S889" s="70"/>
      <c r="T889" s="70"/>
      <c r="U889" s="70"/>
      <c r="V889" s="70"/>
      <c r="W889" s="70"/>
      <c r="X889" s="70"/>
      <c r="Y889" s="70"/>
    </row>
    <row r="890" spans="7:25" ht="13.2"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S890" s="70"/>
      <c r="T890" s="70"/>
      <c r="U890" s="70"/>
      <c r="V890" s="70"/>
      <c r="W890" s="70"/>
      <c r="X890" s="70"/>
      <c r="Y890" s="70"/>
    </row>
    <row r="891" spans="7:25" ht="13.2"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S891" s="70"/>
      <c r="T891" s="70"/>
      <c r="U891" s="70"/>
      <c r="V891" s="70"/>
      <c r="W891" s="70"/>
      <c r="X891" s="70"/>
      <c r="Y891" s="70"/>
    </row>
    <row r="892" spans="7:25" ht="13.2"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S892" s="70"/>
      <c r="T892" s="70"/>
      <c r="U892" s="70"/>
      <c r="V892" s="70"/>
      <c r="W892" s="70"/>
      <c r="X892" s="70"/>
      <c r="Y892" s="70"/>
    </row>
    <row r="893" spans="7:25" ht="13.2"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S893" s="70"/>
      <c r="T893" s="70"/>
      <c r="U893" s="70"/>
      <c r="V893" s="70"/>
      <c r="W893" s="70"/>
      <c r="X893" s="70"/>
      <c r="Y893" s="70"/>
    </row>
    <row r="894" spans="7:25" ht="13.2"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S894" s="70"/>
      <c r="T894" s="70"/>
      <c r="U894" s="70"/>
      <c r="V894" s="70"/>
      <c r="W894" s="70"/>
      <c r="X894" s="70"/>
      <c r="Y894" s="70"/>
    </row>
    <row r="895" spans="7:25" ht="13.2"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S895" s="70"/>
      <c r="T895" s="70"/>
      <c r="U895" s="70"/>
      <c r="V895" s="70"/>
      <c r="W895" s="70"/>
      <c r="X895" s="70"/>
      <c r="Y895" s="70"/>
    </row>
    <row r="896" spans="7:25" ht="13.2"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S896" s="70"/>
      <c r="T896" s="70"/>
      <c r="U896" s="70"/>
      <c r="V896" s="70"/>
      <c r="W896" s="70"/>
      <c r="X896" s="70"/>
      <c r="Y896" s="70"/>
    </row>
    <row r="897" spans="7:25" ht="13.2"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S897" s="70"/>
      <c r="T897" s="70"/>
      <c r="U897" s="70"/>
      <c r="V897" s="70"/>
      <c r="W897" s="70"/>
      <c r="X897" s="70"/>
      <c r="Y897" s="70"/>
    </row>
    <row r="898" spans="7:25" ht="13.2"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S898" s="70"/>
      <c r="T898" s="70"/>
      <c r="U898" s="70"/>
      <c r="V898" s="70"/>
      <c r="W898" s="70"/>
      <c r="X898" s="70"/>
      <c r="Y898" s="70"/>
    </row>
    <row r="899" spans="7:25" ht="13.2"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S899" s="70"/>
      <c r="T899" s="70"/>
      <c r="U899" s="70"/>
      <c r="V899" s="70"/>
      <c r="W899" s="70"/>
      <c r="X899" s="70"/>
      <c r="Y899" s="70"/>
    </row>
    <row r="900" spans="7:25" ht="13.2"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S900" s="70"/>
      <c r="T900" s="70"/>
      <c r="U900" s="70"/>
      <c r="V900" s="70"/>
      <c r="W900" s="70"/>
      <c r="X900" s="70"/>
      <c r="Y900" s="70"/>
    </row>
    <row r="901" spans="7:25" ht="13.2"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S901" s="70"/>
      <c r="T901" s="70"/>
      <c r="U901" s="70"/>
      <c r="V901" s="70"/>
      <c r="W901" s="70"/>
      <c r="X901" s="70"/>
      <c r="Y901" s="70"/>
    </row>
    <row r="902" spans="7:25" ht="13.2"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S902" s="70"/>
      <c r="T902" s="70"/>
      <c r="U902" s="70"/>
      <c r="V902" s="70"/>
      <c r="W902" s="70"/>
      <c r="X902" s="70"/>
      <c r="Y902" s="70"/>
    </row>
    <row r="903" spans="7:25" ht="13.2"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S903" s="70"/>
      <c r="T903" s="70"/>
      <c r="U903" s="70"/>
      <c r="V903" s="70"/>
      <c r="W903" s="70"/>
      <c r="X903" s="70"/>
      <c r="Y903" s="70"/>
    </row>
    <row r="904" spans="7:25" ht="13.2"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S904" s="70"/>
      <c r="T904" s="70"/>
      <c r="U904" s="70"/>
      <c r="V904" s="70"/>
      <c r="W904" s="70"/>
      <c r="X904" s="70"/>
      <c r="Y904" s="70"/>
    </row>
    <row r="905" spans="7:25" ht="13.2"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S905" s="70"/>
      <c r="T905" s="70"/>
      <c r="U905" s="70"/>
      <c r="V905" s="70"/>
      <c r="W905" s="70"/>
      <c r="X905" s="70"/>
      <c r="Y905" s="70"/>
    </row>
    <row r="906" spans="7:25" ht="13.2"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S906" s="70"/>
      <c r="T906" s="70"/>
      <c r="U906" s="70"/>
      <c r="V906" s="70"/>
      <c r="W906" s="70"/>
      <c r="X906" s="70"/>
      <c r="Y906" s="70"/>
    </row>
    <row r="907" spans="7:25" ht="13.2"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S907" s="70"/>
      <c r="T907" s="70"/>
      <c r="U907" s="70"/>
      <c r="V907" s="70"/>
      <c r="W907" s="70"/>
      <c r="X907" s="70"/>
      <c r="Y907" s="70"/>
    </row>
    <row r="908" spans="7:25" ht="13.2"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S908" s="70"/>
      <c r="T908" s="70"/>
      <c r="U908" s="70"/>
      <c r="V908" s="70"/>
      <c r="W908" s="70"/>
      <c r="X908" s="70"/>
      <c r="Y908" s="70"/>
    </row>
    <row r="909" spans="7:25" ht="13.2"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S909" s="70"/>
      <c r="T909" s="70"/>
      <c r="U909" s="70"/>
      <c r="V909" s="70"/>
      <c r="W909" s="70"/>
      <c r="X909" s="70"/>
      <c r="Y909" s="70"/>
    </row>
    <row r="910" spans="7:25" ht="13.2"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S910" s="70"/>
      <c r="T910" s="70"/>
      <c r="U910" s="70"/>
      <c r="V910" s="70"/>
      <c r="W910" s="70"/>
      <c r="X910" s="70"/>
      <c r="Y910" s="70"/>
    </row>
    <row r="911" spans="7:25" ht="13.2"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S911" s="70"/>
      <c r="T911" s="70"/>
      <c r="U911" s="70"/>
      <c r="V911" s="70"/>
      <c r="W911" s="70"/>
      <c r="X911" s="70"/>
      <c r="Y911" s="70"/>
    </row>
    <row r="912" spans="7:25" ht="13.2"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S912" s="70"/>
      <c r="T912" s="70"/>
      <c r="U912" s="70"/>
      <c r="V912" s="70"/>
      <c r="W912" s="70"/>
      <c r="X912" s="70"/>
      <c r="Y912" s="70"/>
    </row>
    <row r="913" spans="7:25" ht="13.2"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S913" s="70"/>
      <c r="T913" s="70"/>
      <c r="U913" s="70"/>
      <c r="V913" s="70"/>
      <c r="W913" s="70"/>
      <c r="X913" s="70"/>
      <c r="Y913" s="70"/>
    </row>
    <row r="914" spans="7:25" ht="13.2"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S914" s="70"/>
      <c r="T914" s="70"/>
      <c r="U914" s="70"/>
      <c r="V914" s="70"/>
      <c r="W914" s="70"/>
      <c r="X914" s="70"/>
      <c r="Y914" s="70"/>
    </row>
    <row r="915" spans="7:25" ht="13.2"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S915" s="70"/>
      <c r="T915" s="70"/>
      <c r="U915" s="70"/>
      <c r="V915" s="70"/>
      <c r="W915" s="70"/>
      <c r="X915" s="70"/>
      <c r="Y915" s="70"/>
    </row>
    <row r="916" spans="7:25" ht="13.2"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S916" s="70"/>
      <c r="T916" s="70"/>
      <c r="U916" s="70"/>
      <c r="V916" s="70"/>
      <c r="W916" s="70"/>
      <c r="X916" s="70"/>
      <c r="Y916" s="70"/>
    </row>
    <row r="917" spans="7:25" ht="13.2"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S917" s="70"/>
      <c r="T917" s="70"/>
      <c r="U917" s="70"/>
      <c r="V917" s="70"/>
      <c r="W917" s="70"/>
      <c r="X917" s="70"/>
      <c r="Y917" s="70"/>
    </row>
    <row r="918" spans="7:25" ht="13.2"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S918" s="70"/>
      <c r="T918" s="70"/>
      <c r="U918" s="70"/>
      <c r="V918" s="70"/>
      <c r="W918" s="70"/>
      <c r="X918" s="70"/>
      <c r="Y918" s="70"/>
    </row>
    <row r="919" spans="7:25" ht="13.2"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S919" s="70"/>
      <c r="T919" s="70"/>
      <c r="U919" s="70"/>
      <c r="V919" s="70"/>
      <c r="W919" s="70"/>
      <c r="X919" s="70"/>
      <c r="Y919" s="70"/>
    </row>
    <row r="920" spans="7:25" ht="13.2"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S920" s="70"/>
      <c r="T920" s="70"/>
      <c r="U920" s="70"/>
      <c r="V920" s="70"/>
      <c r="W920" s="70"/>
      <c r="X920" s="70"/>
      <c r="Y920" s="70"/>
    </row>
    <row r="921" spans="7:25" ht="13.2"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S921" s="70"/>
      <c r="T921" s="70"/>
      <c r="U921" s="70"/>
      <c r="V921" s="70"/>
      <c r="W921" s="70"/>
      <c r="X921" s="70"/>
      <c r="Y921" s="70"/>
    </row>
    <row r="922" spans="7:25" ht="13.2"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S922" s="70"/>
      <c r="T922" s="70"/>
      <c r="U922" s="70"/>
      <c r="V922" s="70"/>
      <c r="W922" s="70"/>
      <c r="X922" s="70"/>
      <c r="Y922" s="70"/>
    </row>
    <row r="923" spans="7:25" ht="13.2"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S923" s="70"/>
      <c r="T923" s="70"/>
      <c r="U923" s="70"/>
      <c r="V923" s="70"/>
      <c r="W923" s="70"/>
      <c r="X923" s="70"/>
      <c r="Y923" s="70"/>
    </row>
    <row r="924" spans="7:25" ht="13.2"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S924" s="70"/>
      <c r="T924" s="70"/>
      <c r="U924" s="70"/>
      <c r="V924" s="70"/>
      <c r="W924" s="70"/>
      <c r="X924" s="70"/>
      <c r="Y924" s="70"/>
    </row>
    <row r="925" spans="7:25" ht="13.2"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S925" s="70"/>
      <c r="T925" s="70"/>
      <c r="U925" s="70"/>
      <c r="V925" s="70"/>
      <c r="W925" s="70"/>
      <c r="X925" s="70"/>
      <c r="Y925" s="70"/>
    </row>
    <row r="926" spans="7:25" ht="13.2"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S926" s="70"/>
      <c r="T926" s="70"/>
      <c r="U926" s="70"/>
      <c r="V926" s="70"/>
      <c r="W926" s="70"/>
      <c r="X926" s="70"/>
      <c r="Y926" s="70"/>
    </row>
    <row r="927" spans="7:25" ht="13.2"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S927" s="70"/>
      <c r="T927" s="70"/>
      <c r="U927" s="70"/>
      <c r="V927" s="70"/>
      <c r="W927" s="70"/>
      <c r="X927" s="70"/>
      <c r="Y927" s="70"/>
    </row>
    <row r="928" spans="7:25" ht="13.2"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S928" s="70"/>
      <c r="T928" s="70"/>
      <c r="U928" s="70"/>
      <c r="V928" s="70"/>
      <c r="W928" s="70"/>
      <c r="X928" s="70"/>
      <c r="Y928" s="70"/>
    </row>
    <row r="929" spans="7:25" ht="13.2"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S929" s="70"/>
      <c r="T929" s="70"/>
      <c r="U929" s="70"/>
      <c r="V929" s="70"/>
      <c r="W929" s="70"/>
      <c r="X929" s="70"/>
      <c r="Y929" s="70"/>
    </row>
    <row r="930" spans="7:25" ht="13.2"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S930" s="70"/>
      <c r="T930" s="70"/>
      <c r="U930" s="70"/>
      <c r="V930" s="70"/>
      <c r="W930" s="70"/>
      <c r="X930" s="70"/>
      <c r="Y930" s="70"/>
    </row>
    <row r="931" spans="7:25" ht="13.2"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S931" s="70"/>
      <c r="T931" s="70"/>
      <c r="U931" s="70"/>
      <c r="V931" s="70"/>
      <c r="W931" s="70"/>
      <c r="X931" s="70"/>
      <c r="Y931" s="70"/>
    </row>
    <row r="932" spans="7:25" ht="13.2"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S932" s="70"/>
      <c r="T932" s="70"/>
      <c r="U932" s="70"/>
      <c r="V932" s="70"/>
      <c r="W932" s="70"/>
      <c r="X932" s="70"/>
      <c r="Y932" s="70"/>
    </row>
    <row r="933" spans="7:25" ht="13.2"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S933" s="70"/>
      <c r="T933" s="70"/>
      <c r="U933" s="70"/>
      <c r="V933" s="70"/>
      <c r="W933" s="70"/>
      <c r="X933" s="70"/>
      <c r="Y933" s="70"/>
    </row>
    <row r="934" spans="7:25" ht="13.2"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S934" s="70"/>
      <c r="T934" s="70"/>
      <c r="U934" s="70"/>
      <c r="V934" s="70"/>
      <c r="W934" s="70"/>
      <c r="X934" s="70"/>
      <c r="Y934" s="70"/>
    </row>
    <row r="935" spans="7:25" ht="13.2"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S935" s="70"/>
      <c r="T935" s="70"/>
      <c r="U935" s="70"/>
      <c r="V935" s="70"/>
      <c r="W935" s="70"/>
      <c r="X935" s="70"/>
      <c r="Y935" s="70"/>
    </row>
    <row r="936" spans="7:25" ht="13.2"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S936" s="70"/>
      <c r="T936" s="70"/>
      <c r="U936" s="70"/>
      <c r="V936" s="70"/>
      <c r="W936" s="70"/>
      <c r="X936" s="70"/>
      <c r="Y936" s="70"/>
    </row>
    <row r="937" spans="7:25" ht="13.2"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S937" s="70"/>
      <c r="T937" s="70"/>
      <c r="U937" s="70"/>
      <c r="V937" s="70"/>
      <c r="W937" s="70"/>
      <c r="X937" s="70"/>
      <c r="Y937" s="70"/>
    </row>
    <row r="938" spans="7:25" ht="13.2"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S938" s="70"/>
      <c r="T938" s="70"/>
      <c r="U938" s="70"/>
      <c r="V938" s="70"/>
      <c r="W938" s="70"/>
      <c r="X938" s="70"/>
      <c r="Y938" s="70"/>
    </row>
    <row r="939" spans="7:25" ht="13.2"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S939" s="70"/>
      <c r="T939" s="70"/>
      <c r="U939" s="70"/>
      <c r="V939" s="70"/>
      <c r="W939" s="70"/>
      <c r="X939" s="70"/>
      <c r="Y939" s="70"/>
    </row>
    <row r="940" spans="7:25" ht="13.2"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S940" s="70"/>
      <c r="T940" s="70"/>
      <c r="U940" s="70"/>
      <c r="V940" s="70"/>
      <c r="W940" s="70"/>
      <c r="X940" s="70"/>
      <c r="Y940" s="70"/>
    </row>
    <row r="941" spans="7:25" ht="13.2"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S941" s="70"/>
      <c r="T941" s="70"/>
      <c r="U941" s="70"/>
      <c r="V941" s="70"/>
      <c r="W941" s="70"/>
      <c r="X941" s="70"/>
      <c r="Y941" s="70"/>
    </row>
    <row r="942" spans="7:25" ht="13.2"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S942" s="70"/>
      <c r="T942" s="70"/>
      <c r="U942" s="70"/>
      <c r="V942" s="70"/>
      <c r="W942" s="70"/>
      <c r="X942" s="70"/>
      <c r="Y942" s="70"/>
    </row>
    <row r="943" spans="7:25" ht="13.2"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S943" s="70"/>
      <c r="T943" s="70"/>
      <c r="U943" s="70"/>
      <c r="V943" s="70"/>
      <c r="W943" s="70"/>
      <c r="X943" s="70"/>
      <c r="Y943" s="70"/>
    </row>
    <row r="944" spans="7:25" ht="13.2"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S944" s="70"/>
      <c r="T944" s="70"/>
      <c r="U944" s="70"/>
      <c r="V944" s="70"/>
      <c r="W944" s="70"/>
      <c r="X944" s="70"/>
      <c r="Y944" s="70"/>
    </row>
    <row r="945" spans="7:25" ht="13.2"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S945" s="70"/>
      <c r="T945" s="70"/>
      <c r="U945" s="70"/>
      <c r="V945" s="70"/>
      <c r="W945" s="70"/>
      <c r="X945" s="70"/>
      <c r="Y945" s="70"/>
    </row>
    <row r="946" spans="7:25" ht="13.2"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S946" s="70"/>
      <c r="T946" s="70"/>
      <c r="U946" s="70"/>
      <c r="V946" s="70"/>
      <c r="W946" s="70"/>
      <c r="X946" s="70"/>
      <c r="Y946" s="70"/>
    </row>
    <row r="947" spans="7:25" ht="13.2"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S947" s="70"/>
      <c r="T947" s="70"/>
      <c r="U947" s="70"/>
      <c r="V947" s="70"/>
      <c r="W947" s="70"/>
      <c r="X947" s="70"/>
      <c r="Y947" s="70"/>
    </row>
    <row r="948" spans="7:25" ht="13.2"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S948" s="70"/>
      <c r="T948" s="70"/>
      <c r="U948" s="70"/>
      <c r="V948" s="70"/>
      <c r="W948" s="70"/>
      <c r="X948" s="70"/>
      <c r="Y948" s="70"/>
    </row>
    <row r="949" spans="7:25" ht="13.2"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S949" s="70"/>
      <c r="T949" s="70"/>
      <c r="U949" s="70"/>
      <c r="V949" s="70"/>
      <c r="W949" s="70"/>
      <c r="X949" s="70"/>
      <c r="Y949" s="70"/>
    </row>
    <row r="950" spans="7:25" ht="13.2"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S950" s="70"/>
      <c r="T950" s="70"/>
      <c r="U950" s="70"/>
      <c r="V950" s="70"/>
      <c r="W950" s="70"/>
      <c r="X950" s="70"/>
      <c r="Y950" s="70"/>
    </row>
    <row r="951" spans="7:25" ht="13.2"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S951" s="70"/>
      <c r="T951" s="70"/>
      <c r="U951" s="70"/>
      <c r="V951" s="70"/>
      <c r="W951" s="70"/>
      <c r="X951" s="70"/>
      <c r="Y951" s="70"/>
    </row>
    <row r="952" spans="7:25" ht="13.2"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S952" s="70"/>
      <c r="T952" s="70"/>
      <c r="U952" s="70"/>
      <c r="V952" s="70"/>
      <c r="W952" s="70"/>
      <c r="X952" s="70"/>
      <c r="Y952" s="70"/>
    </row>
    <row r="953" spans="7:25" ht="13.2"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S953" s="70"/>
      <c r="T953" s="70"/>
      <c r="U953" s="70"/>
      <c r="V953" s="70"/>
      <c r="W953" s="70"/>
      <c r="X953" s="70"/>
      <c r="Y953" s="70"/>
    </row>
    <row r="954" spans="7:25" ht="13.2"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S954" s="70"/>
      <c r="T954" s="70"/>
      <c r="U954" s="70"/>
      <c r="V954" s="70"/>
      <c r="W954" s="70"/>
      <c r="X954" s="70"/>
      <c r="Y954" s="70"/>
    </row>
    <row r="955" spans="7:25" ht="13.2"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S955" s="70"/>
      <c r="T955" s="70"/>
      <c r="U955" s="70"/>
      <c r="V955" s="70"/>
      <c r="W955" s="70"/>
      <c r="X955" s="70"/>
      <c r="Y955" s="70"/>
    </row>
    <row r="956" spans="7:25" ht="13.2"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S956" s="70"/>
      <c r="T956" s="70"/>
      <c r="U956" s="70"/>
      <c r="V956" s="70"/>
      <c r="W956" s="70"/>
      <c r="X956" s="70"/>
      <c r="Y956" s="70"/>
    </row>
    <row r="957" spans="7:25" ht="13.2"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S957" s="70"/>
      <c r="T957" s="70"/>
      <c r="U957" s="70"/>
      <c r="V957" s="70"/>
      <c r="W957" s="70"/>
      <c r="X957" s="70"/>
      <c r="Y957" s="70"/>
    </row>
    <row r="958" spans="7:25" ht="13.2"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S958" s="70"/>
      <c r="T958" s="70"/>
      <c r="U958" s="70"/>
      <c r="V958" s="70"/>
      <c r="W958" s="70"/>
      <c r="X958" s="70"/>
      <c r="Y958" s="70"/>
    </row>
    <row r="959" spans="7:25" ht="13.2"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S959" s="70"/>
      <c r="T959" s="70"/>
      <c r="U959" s="70"/>
      <c r="V959" s="70"/>
      <c r="W959" s="70"/>
      <c r="X959" s="70"/>
      <c r="Y959" s="70"/>
    </row>
    <row r="960" spans="7:25" ht="13.2"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S960" s="70"/>
      <c r="T960" s="70"/>
      <c r="U960" s="70"/>
      <c r="V960" s="70"/>
      <c r="W960" s="70"/>
      <c r="X960" s="70"/>
      <c r="Y960" s="70"/>
    </row>
    <row r="961" spans="7:25" ht="13.2"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S961" s="70"/>
      <c r="T961" s="70"/>
      <c r="U961" s="70"/>
      <c r="V961" s="70"/>
      <c r="W961" s="70"/>
      <c r="X961" s="70"/>
      <c r="Y961" s="70"/>
    </row>
    <row r="962" spans="7:25" ht="13.2"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S962" s="70"/>
      <c r="T962" s="70"/>
      <c r="U962" s="70"/>
      <c r="V962" s="70"/>
      <c r="W962" s="70"/>
      <c r="X962" s="70"/>
      <c r="Y962" s="70"/>
    </row>
    <row r="963" spans="7:25" ht="13.2"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S963" s="70"/>
      <c r="T963" s="70"/>
      <c r="U963" s="70"/>
      <c r="V963" s="70"/>
      <c r="W963" s="70"/>
      <c r="X963" s="70"/>
      <c r="Y963" s="70"/>
    </row>
    <row r="964" spans="7:25" ht="13.2"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S964" s="70"/>
      <c r="T964" s="70"/>
      <c r="U964" s="70"/>
      <c r="V964" s="70"/>
      <c r="W964" s="70"/>
      <c r="X964" s="70"/>
      <c r="Y964" s="70"/>
    </row>
    <row r="965" spans="7:25" ht="13.2"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S965" s="70"/>
      <c r="T965" s="70"/>
      <c r="U965" s="70"/>
      <c r="V965" s="70"/>
      <c r="W965" s="70"/>
      <c r="X965" s="70"/>
      <c r="Y965" s="70"/>
    </row>
    <row r="966" spans="7:25" ht="13.2"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S966" s="70"/>
      <c r="T966" s="70"/>
      <c r="U966" s="70"/>
      <c r="V966" s="70"/>
      <c r="W966" s="70"/>
      <c r="X966" s="70"/>
      <c r="Y966" s="70"/>
    </row>
    <row r="967" spans="7:25" ht="13.2"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S967" s="70"/>
      <c r="T967" s="70"/>
      <c r="U967" s="70"/>
      <c r="V967" s="70"/>
      <c r="W967" s="70"/>
      <c r="X967" s="70"/>
      <c r="Y967" s="70"/>
    </row>
    <row r="968" spans="7:25" ht="13.2"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S968" s="70"/>
      <c r="T968" s="70"/>
      <c r="U968" s="70"/>
      <c r="V968" s="70"/>
      <c r="W968" s="70"/>
      <c r="X968" s="70"/>
      <c r="Y968" s="70"/>
    </row>
    <row r="969" spans="7:25" ht="13.2"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S969" s="70"/>
      <c r="T969" s="70"/>
      <c r="U969" s="70"/>
      <c r="V969" s="70"/>
      <c r="W969" s="70"/>
      <c r="X969" s="70"/>
      <c r="Y969" s="70"/>
    </row>
    <row r="970" spans="7:25" ht="13.2"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S970" s="70"/>
      <c r="T970" s="70"/>
      <c r="U970" s="70"/>
      <c r="V970" s="70"/>
      <c r="W970" s="70"/>
      <c r="X970" s="70"/>
      <c r="Y970" s="70"/>
    </row>
    <row r="971" spans="7:25" ht="13.2"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S971" s="70"/>
      <c r="T971" s="70"/>
      <c r="U971" s="70"/>
      <c r="V971" s="70"/>
      <c r="W971" s="70"/>
      <c r="X971" s="70"/>
      <c r="Y971" s="70"/>
    </row>
    <row r="972" spans="7:25" ht="13.2"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S972" s="70"/>
      <c r="T972" s="70"/>
      <c r="U972" s="70"/>
      <c r="V972" s="70"/>
      <c r="W972" s="70"/>
      <c r="X972" s="70"/>
      <c r="Y972" s="70"/>
    </row>
    <row r="973" spans="7:25" ht="13.2"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S973" s="70"/>
      <c r="T973" s="70"/>
      <c r="U973" s="70"/>
      <c r="V973" s="70"/>
      <c r="W973" s="70"/>
      <c r="X973" s="70"/>
      <c r="Y973" s="70"/>
    </row>
    <row r="974" spans="7:25" ht="13.2"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S974" s="70"/>
      <c r="T974" s="70"/>
      <c r="U974" s="70"/>
      <c r="V974" s="70"/>
      <c r="W974" s="70"/>
      <c r="X974" s="70"/>
      <c r="Y974" s="70"/>
    </row>
    <row r="975" spans="7:25" ht="13.2"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S975" s="70"/>
      <c r="T975" s="70"/>
      <c r="U975" s="70"/>
      <c r="V975" s="70"/>
      <c r="W975" s="70"/>
      <c r="X975" s="70"/>
      <c r="Y975" s="70"/>
    </row>
    <row r="976" spans="7:25" ht="13.2"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S976" s="70"/>
      <c r="T976" s="70"/>
      <c r="U976" s="70"/>
      <c r="V976" s="70"/>
      <c r="W976" s="70"/>
      <c r="X976" s="70"/>
      <c r="Y976" s="70"/>
    </row>
    <row r="977" spans="7:25" ht="13.2"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S977" s="70"/>
      <c r="T977" s="70"/>
      <c r="U977" s="70"/>
      <c r="V977" s="70"/>
      <c r="W977" s="70"/>
      <c r="X977" s="70"/>
      <c r="Y977" s="70"/>
    </row>
    <row r="978" spans="7:25" ht="13.2"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S978" s="70"/>
      <c r="T978" s="70"/>
      <c r="U978" s="70"/>
      <c r="V978" s="70"/>
      <c r="W978" s="70"/>
      <c r="X978" s="70"/>
      <c r="Y978" s="70"/>
    </row>
    <row r="979" spans="7:25" ht="13.2"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S979" s="70"/>
      <c r="T979" s="70"/>
      <c r="U979" s="70"/>
      <c r="V979" s="70"/>
      <c r="W979" s="70"/>
      <c r="X979" s="70"/>
      <c r="Y979" s="70"/>
    </row>
    <row r="980" spans="7:25" ht="13.2"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S980" s="70"/>
      <c r="T980" s="70"/>
      <c r="U980" s="70"/>
      <c r="V980" s="70"/>
      <c r="W980" s="70"/>
      <c r="X980" s="70"/>
      <c r="Y980" s="70"/>
    </row>
    <row r="981" spans="7:25" ht="13.2"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S981" s="70"/>
      <c r="T981" s="70"/>
      <c r="U981" s="70"/>
      <c r="V981" s="70"/>
      <c r="W981" s="70"/>
      <c r="X981" s="70"/>
      <c r="Y981" s="70"/>
    </row>
    <row r="982" spans="7:25" ht="13.2"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S982" s="70"/>
      <c r="T982" s="70"/>
      <c r="U982" s="70"/>
      <c r="V982" s="70"/>
      <c r="W982" s="70"/>
      <c r="X982" s="70"/>
      <c r="Y982" s="70"/>
    </row>
    <row r="983" spans="7:25" ht="13.2"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S983" s="70"/>
      <c r="T983" s="70"/>
      <c r="U983" s="70"/>
      <c r="V983" s="70"/>
      <c r="W983" s="70"/>
      <c r="X983" s="70"/>
      <c r="Y983" s="70"/>
    </row>
    <row r="984" spans="7:25" ht="13.2"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S984" s="70"/>
      <c r="T984" s="70"/>
      <c r="U984" s="70"/>
      <c r="V984" s="70"/>
      <c r="W984" s="70"/>
      <c r="X984" s="70"/>
      <c r="Y984" s="70"/>
    </row>
    <row r="985" spans="7:25" ht="13.2"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S985" s="70"/>
      <c r="T985" s="70"/>
      <c r="U985" s="70"/>
      <c r="V985" s="70"/>
      <c r="W985" s="70"/>
      <c r="X985" s="70"/>
      <c r="Y985" s="70"/>
    </row>
    <row r="986" spans="7:25" ht="13.2"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S986" s="70"/>
      <c r="T986" s="70"/>
      <c r="U986" s="70"/>
      <c r="V986" s="70"/>
      <c r="W986" s="70"/>
      <c r="X986" s="70"/>
      <c r="Y986" s="70"/>
    </row>
    <row r="987" spans="7:25" ht="13.2"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S987" s="70"/>
      <c r="T987" s="70"/>
      <c r="U987" s="70"/>
      <c r="V987" s="70"/>
      <c r="W987" s="70"/>
      <c r="X987" s="70"/>
      <c r="Y987" s="70"/>
    </row>
    <row r="988" spans="7:25" ht="13.2"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S988" s="70"/>
      <c r="T988" s="70"/>
      <c r="U988" s="70"/>
      <c r="V988" s="70"/>
      <c r="W988" s="70"/>
      <c r="X988" s="70"/>
      <c r="Y988" s="70"/>
    </row>
    <row r="989" spans="7:25" ht="13.2"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S989" s="70"/>
      <c r="T989" s="70"/>
      <c r="U989" s="70"/>
      <c r="V989" s="70"/>
      <c r="W989" s="70"/>
      <c r="X989" s="70"/>
      <c r="Y989" s="70"/>
    </row>
    <row r="990" spans="7:25" ht="13.2"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S990" s="70"/>
      <c r="T990" s="70"/>
      <c r="U990" s="70"/>
      <c r="V990" s="70"/>
      <c r="W990" s="70"/>
      <c r="X990" s="70"/>
      <c r="Y990" s="70"/>
    </row>
    <row r="991" spans="7:25" ht="13.2"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S991" s="70"/>
      <c r="T991" s="70"/>
      <c r="U991" s="70"/>
      <c r="V991" s="70"/>
      <c r="W991" s="70"/>
      <c r="X991" s="70"/>
      <c r="Y991" s="70"/>
    </row>
    <row r="992" spans="7:25" ht="13.2"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S992" s="70"/>
      <c r="T992" s="70"/>
      <c r="U992" s="70"/>
      <c r="V992" s="70"/>
      <c r="W992" s="70"/>
      <c r="X992" s="70"/>
      <c r="Y992" s="70"/>
    </row>
    <row r="993" spans="7:25" ht="13.2"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S993" s="70"/>
      <c r="T993" s="70"/>
      <c r="U993" s="70"/>
      <c r="V993" s="70"/>
      <c r="W993" s="70"/>
      <c r="X993" s="70"/>
      <c r="Y993" s="70"/>
    </row>
    <row r="994" spans="7:25" ht="13.2"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S994" s="70"/>
      <c r="T994" s="70"/>
      <c r="U994" s="70"/>
      <c r="V994" s="70"/>
      <c r="W994" s="70"/>
      <c r="X994" s="70"/>
      <c r="Y994" s="70"/>
    </row>
    <row r="995" spans="7:25" ht="13.2"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S995" s="70"/>
      <c r="T995" s="70"/>
      <c r="U995" s="70"/>
      <c r="V995" s="70"/>
      <c r="W995" s="70"/>
      <c r="X995" s="70"/>
      <c r="Y995" s="70"/>
    </row>
    <row r="996" spans="7:25" ht="13.2"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S996" s="70"/>
      <c r="T996" s="70"/>
      <c r="U996" s="70"/>
      <c r="V996" s="70"/>
      <c r="W996" s="70"/>
      <c r="X996" s="70"/>
      <c r="Y996" s="70"/>
    </row>
    <row r="997" spans="7:25" ht="13.2"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S997" s="70"/>
      <c r="T997" s="70"/>
      <c r="U997" s="70"/>
      <c r="V997" s="70"/>
      <c r="W997" s="70"/>
      <c r="X997" s="70"/>
      <c r="Y997" s="70"/>
    </row>
    <row r="998" spans="7:25" ht="13.2"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S998" s="70"/>
      <c r="T998" s="70"/>
      <c r="U998" s="70"/>
      <c r="V998" s="70"/>
      <c r="W998" s="70"/>
      <c r="X998" s="70"/>
      <c r="Y998" s="70"/>
    </row>
  </sheetData>
  <mergeCells count="1">
    <mergeCell ref="A42:F42"/>
  </mergeCells>
  <conditionalFormatting sqref="Y2:Y14 Y16:Y28 Y30:Y41">
    <cfRule type="expression" dxfId="1" priority="1">
      <formula>Y2="Match"</formula>
    </cfRule>
    <cfRule type="expression" dxfId="0" priority="2">
      <formula>Y2="No Match"</formula>
    </cfRule>
  </conditionalFormatting>
  <pageMargins left="0.7" right="0.7" top="0.75" bottom="0.75" header="0.3" footer="0.3"/>
  <pageSetup paperSize="9" orientation="portrait" r:id="rId1"/>
  <ignoredErrors>
    <ignoredError sqref="H15 J15 L15 N15:P15 H29 J29 L29 N29:P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Term 1 and 2 total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2026-02-25T12:50:17Z</dcterms:created>
  <dcterms:modified xsi:type="dcterms:W3CDTF">2026-02-25T12:54:29Z</dcterms:modified>
</cp:coreProperties>
</file>