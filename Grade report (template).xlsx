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/>
  <xr:revisionPtr revIDLastSave="0" documentId="13_ncr:1_{7F40E1F5-A500-45EC-B948-8D4D0068B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 l="1"/>
  <c r="P12" i="2" s="1"/>
  <c r="Q9" i="2"/>
  <c r="I12" i="2"/>
  <c r="Q12" i="2"/>
  <c r="S5" i="2" a="1"/>
  <c r="S5" i="2" s="1"/>
  <c r="S6" i="2" a="1"/>
  <c r="S6" i="2"/>
  <c r="S7" i="2" a="1"/>
  <c r="S7" i="2"/>
  <c r="S8" i="2" a="1"/>
  <c r="S8" i="2"/>
  <c r="S9" i="2" a="1"/>
  <c r="S9" i="2" s="1"/>
  <c r="S10" i="2" a="1"/>
  <c r="S10" i="2"/>
  <c r="S4" i="2" a="1"/>
  <c r="S4" i="2" s="1"/>
  <c r="P9" i="2"/>
  <c r="R12" i="2"/>
  <c r="P10" i="2"/>
  <c r="O10" i="2"/>
  <c r="M10" i="2"/>
  <c r="K10" i="2"/>
  <c r="Y10" i="2" s="1"/>
  <c r="I10" i="2"/>
  <c r="W9" i="2"/>
  <c r="V9" i="2"/>
  <c r="O9" i="2"/>
  <c r="Y9" i="2" s="1"/>
  <c r="M9" i="2"/>
  <c r="K9" i="2"/>
  <c r="I9" i="2"/>
  <c r="X8" i="2"/>
  <c r="W8" i="2"/>
  <c r="V8" i="2"/>
  <c r="P8" i="2"/>
  <c r="O8" i="2"/>
  <c r="M8" i="2"/>
  <c r="K8" i="2"/>
  <c r="I8" i="2"/>
  <c r="Y8" i="2" s="1"/>
  <c r="X7" i="2"/>
  <c r="W7" i="2"/>
  <c r="V7" i="2"/>
  <c r="P7" i="2"/>
  <c r="O7" i="2"/>
  <c r="M7" i="2"/>
  <c r="K7" i="2"/>
  <c r="I7" i="2"/>
  <c r="Y7" i="2" s="1"/>
  <c r="X6" i="2"/>
  <c r="W6" i="2"/>
  <c r="V6" i="2"/>
  <c r="P6" i="2"/>
  <c r="O6" i="2"/>
  <c r="M6" i="2"/>
  <c r="M12" i="2" s="1"/>
  <c r="K6" i="2"/>
  <c r="Y6" i="2" s="1"/>
  <c r="I6" i="2"/>
  <c r="X5" i="2"/>
  <c r="W5" i="2"/>
  <c r="V5" i="2"/>
  <c r="P5" i="2"/>
  <c r="O5" i="2"/>
  <c r="O12" i="2" s="1"/>
  <c r="M5" i="2"/>
  <c r="K5" i="2"/>
  <c r="I5" i="2"/>
  <c r="Y5" i="2" s="1"/>
  <c r="X4" i="2"/>
  <c r="W4" i="2"/>
  <c r="V4" i="2"/>
  <c r="O4" i="2"/>
  <c r="M4" i="2"/>
  <c r="K4" i="2"/>
  <c r="I4" i="2"/>
  <c r="S12" i="2" l="1"/>
  <c r="K12" i="2"/>
  <c r="Y12" i="2" s="1"/>
  <c r="Y4" i="2"/>
  <c r="X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<sst xmlns="http://schemas.openxmlformats.org/spreadsheetml/2006/main" count="75" uniqueCount="52">
  <si>
    <t>EXAM</t>
  </si>
  <si>
    <t>CLASS</t>
  </si>
  <si>
    <t>StudentHRClass</t>
  </si>
  <si>
    <t>Student ID</t>
  </si>
  <si>
    <t>Student Name (TH)</t>
  </si>
  <si>
    <t>Student Name (EN)</t>
  </si>
  <si>
    <t>Nickname</t>
  </si>
  <si>
    <t>GPA</t>
  </si>
  <si>
    <t xml:space="preserve">Speaking </t>
  </si>
  <si>
    <t>S%</t>
  </si>
  <si>
    <t>Listening</t>
  </si>
  <si>
    <t>L%</t>
  </si>
  <si>
    <t>Reading</t>
  </si>
  <si>
    <t>R%</t>
  </si>
  <si>
    <t>Writing</t>
  </si>
  <si>
    <t>W%</t>
  </si>
  <si>
    <t>Total Final Exam %</t>
  </si>
  <si>
    <t>Note to Students in Google Classroom</t>
  </si>
  <si>
    <t>Name</t>
  </si>
  <si>
    <t>PET</t>
  </si>
  <si>
    <t>FIRST</t>
  </si>
  <si>
    <t>IGCSE</t>
  </si>
  <si>
    <t>AS LIT</t>
  </si>
  <si>
    <t>N/A</t>
  </si>
  <si>
    <t>IELTS Prep</t>
  </si>
  <si>
    <t>AVERAGE</t>
  </si>
  <si>
    <t>CLASS AVERAGE</t>
  </si>
  <si>
    <t>_not_ weighted score</t>
  </si>
  <si>
    <t>Google Classroom</t>
  </si>
  <si>
    <t>↑ InsideSatit ↑</t>
  </si>
  <si>
    <t>Step 1: Enter your students' information</t>
  </si>
  <si>
    <t>Step 2: Enter your test scores for each skill. The formulas in % columns (light blue cells) will generate a percentage score automatically.</t>
  </si>
  <si>
    <t>↑ Step 3: Create Final Exam assessment in Google Classroom (out of 100 points) and grade your students using the (weighted) grade from this column.</t>
  </si>
  <si>
    <t>↓ Step 4: After grading _everything_ for the term, copy the Overall Grade from Google Classroom</t>
  </si>
  <si>
    <t>GPA is generated using formula</t>
  </si>
  <si>
    <t>↓ Step 5: Enter Q1 score from Google Classroom</t>
  </si>
  <si>
    <t>↓ Step 6: Enter Q2 score from Google Classroom</t>
  </si>
  <si>
    <t>↑ Step 7: Enter Q1 score that's 45% of Ss Overall Term Score</t>
  </si>
  <si>
    <t>↑ Step 8: Enter Q2 FA score that's 30% of Ss Overall Term Score</t>
  </si>
  <si>
    <t>↑ Step 8: Enter the Final Exam score that's 25% of Ss Overall Term Score</t>
  </si>
  <si>
    <t>↑ Step 3a: When grading Ss Final Exam, include a comment on their performance in each skill. You can also compare to their scores in Term 1, and point out praise improvement or highlight areas for growth.</t>
  </si>
  <si>
    <t>Final Exam Score /100 (weighted)</t>
  </si>
  <si>
    <t>Overall Term Score</t>
  </si>
  <si>
    <t>Q1 %</t>
  </si>
  <si>
    <t>Q2 %</t>
  </si>
  <si>
    <t>Q1 Assessment score /45</t>
  </si>
  <si>
    <t>Q2 Assessment score /30</t>
  </si>
  <si>
    <t>Final Exam Score /25</t>
  </si>
  <si>
    <t>Sample Ss</t>
  </si>
  <si>
    <t xml:space="preserve">Testing </t>
  </si>
  <si>
    <t>KEY (KET)</t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</si>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</sst>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"/>
  </numFmts>
  <fonts count="11" x14ac:knownFonts="1">
    <font>
      <sz val="10"/>
      <color rgb="FF000000"/>
      <name val="Arial"/>
      <scheme val="minor"/>
    </font>
    <font>
      <b/>
      <sz val="10"/>
      <color theme="1"/>
      <name val="Merriweather"/>
    </font>
    <font>
      <b/>
      <sz val="10"/>
      <color rgb="FFF2F2F2"/>
      <name val="Merriweather"/>
    </font>
    <font>
      <b/>
      <sz val="10"/>
      <color rgb="FFF3F3F3"/>
      <name val="Merriweather"/>
    </font>
    <font>
      <sz val="10"/>
      <color theme="1"/>
      <name val="Arial"/>
      <family val="2"/>
    </font>
    <font>
      <i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Roboto"/>
    </font>
    <font>
      <b/>
      <sz val="10"/>
      <color theme="1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F6128"/>
        <bgColor rgb="FF4F6128"/>
      </patternFill>
    </fill>
    <fill>
      <patternFill patternType="solid">
        <fgColor rgb="FFB45F06"/>
        <bgColor rgb="FFB45F06"/>
      </patternFill>
    </fill>
    <fill>
      <patternFill patternType="solid">
        <fgColor rgb="FF215967"/>
        <bgColor rgb="FF215967"/>
      </patternFill>
    </fill>
    <fill>
      <patternFill patternType="solid">
        <fgColor rgb="FF31869B"/>
        <bgColor rgb="FF31869B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783F04"/>
        <bgColor rgb="FF783F04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7F6000"/>
        <bgColor rgb="FF7F6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6" fillId="8" borderId="0" xfId="0" applyFont="1" applyFill="1"/>
    <xf numFmtId="164" fontId="4" fillId="0" borderId="0" xfId="0" applyNumberFormat="1" applyFont="1"/>
    <xf numFmtId="0" fontId="6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10" fontId="6" fillId="1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12" borderId="0" xfId="0" applyFont="1" applyFill="1" applyAlignment="1">
      <alignment horizontal="center" wrapText="1"/>
    </xf>
    <xf numFmtId="2" fontId="4" fillId="0" borderId="0" xfId="0" applyNumberFormat="1" applyFont="1"/>
    <xf numFmtId="0" fontId="1" fillId="13" borderId="0" xfId="0" applyFont="1" applyFill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" fillId="15" borderId="0" xfId="0" applyFont="1" applyFill="1" applyAlignment="1">
      <alignment horizontal="center" wrapText="1"/>
    </xf>
    <xf numFmtId="0" fontId="1" fillId="16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3" fillId="17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 wrapText="1"/>
    </xf>
    <xf numFmtId="0" fontId="4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5" fontId="4" fillId="0" borderId="0" xfId="0" applyNumberFormat="1" applyFont="1"/>
    <xf numFmtId="0" fontId="4" fillId="8" borderId="0" xfId="0" applyFont="1" applyFill="1"/>
    <xf numFmtId="0" fontId="8" fillId="0" borderId="0" xfId="0" applyFont="1" applyAlignment="1">
      <alignment horizontal="center"/>
    </xf>
    <xf numFmtId="0" fontId="4" fillId="18" borderId="0" xfId="0" applyFont="1" applyFill="1"/>
    <xf numFmtId="0" fontId="4" fillId="9" borderId="0" xfId="0" applyFont="1" applyFill="1"/>
    <xf numFmtId="165" fontId="6" fillId="9" borderId="0" xfId="0" applyNumberFormat="1" applyFont="1" applyFill="1" applyAlignment="1">
      <alignment horizontal="center"/>
    </xf>
    <xf numFmtId="10" fontId="6" fillId="18" borderId="0" xfId="0" applyNumberFormat="1" applyFont="1" applyFill="1" applyAlignment="1">
      <alignment horizontal="center"/>
    </xf>
    <xf numFmtId="2" fontId="6" fillId="9" borderId="0" xfId="0" applyNumberFormat="1" applyFont="1" applyFill="1" applyAlignment="1">
      <alignment horizontal="center"/>
    </xf>
    <xf numFmtId="165" fontId="4" fillId="9" borderId="0" xfId="0" applyNumberFormat="1" applyFont="1" applyFill="1"/>
    <xf numFmtId="0" fontId="7" fillId="10" borderId="0" xfId="0" applyFont="1" applyFill="1"/>
    <xf numFmtId="165" fontId="6" fillId="10" borderId="0" xfId="0" applyNumberFormat="1" applyFont="1" applyFill="1" applyAlignment="1">
      <alignment horizontal="center"/>
    </xf>
    <xf numFmtId="2" fontId="6" fillId="10" borderId="0" xfId="0" applyNumberFormat="1" applyFont="1" applyFill="1" applyAlignment="1">
      <alignment horizontal="center"/>
    </xf>
    <xf numFmtId="165" fontId="4" fillId="7" borderId="0" xfId="0" applyNumberFormat="1" applyFont="1" applyFill="1"/>
    <xf numFmtId="0" fontId="9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 wrapText="1"/>
    </xf>
    <xf numFmtId="0" fontId="0" fillId="0" borderId="0" xfId="0"/>
    <xf numFmtId="0" fontId="3" fillId="12" borderId="0" xfId="0" applyFont="1" applyFill="1" applyAlignment="1">
      <alignment horizontal="center" wrapText="1"/>
    </xf>
    <xf numFmtId="0" fontId="1" fillId="13" borderId="0" xfId="0" applyFont="1" applyFill="1" applyAlignment="1">
      <alignment horizontal="center"/>
    </xf>
    <xf numFmtId="0" fontId="1" fillId="13" borderId="0" xfId="0" applyFont="1" applyFill="1" applyAlignment="1">
      <alignment horizontal="center" wrapText="1"/>
    </xf>
    <xf numFmtId="0" fontId="1" fillId="14" borderId="0" xfId="0" applyFont="1" applyFill="1" applyAlignment="1">
      <alignment horizontal="center" wrapText="1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20"/>
  <sheetViews>
    <sheetView tabSelected="1" workbookViewId="0">
      <selection activeCell="G6" sqref="G6"/>
    </sheetView>
  </sheetViews>
  <sheetFormatPr defaultColWidth="12.6640625" defaultRowHeight="15.75" customHeight="1" x14ac:dyDescent="0.25"/>
  <cols>
    <col min="3" max="3" width="16.44140625" bestFit="1" customWidth="1"/>
    <col min="4" max="4" width="11.109375" bestFit="1" customWidth="1"/>
    <col min="5" max="5" width="19.77734375" bestFit="1" customWidth="1"/>
    <col min="6" max="6" width="19.6640625" bestFit="1" customWidth="1"/>
    <col min="7" max="7" width="10.77734375" bestFit="1" customWidth="1"/>
    <col min="25" max="25" width="80.109375" customWidth="1"/>
  </cols>
  <sheetData>
    <row r="1" spans="1:28" ht="45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19" t="s">
        <v>27</v>
      </c>
      <c r="Q1" s="49" t="s">
        <v>28</v>
      </c>
      <c r="R1" s="50"/>
      <c r="S1" s="50"/>
      <c r="T1" s="50"/>
      <c r="U1" s="50"/>
      <c r="V1" s="51" t="s">
        <v>29</v>
      </c>
      <c r="W1" s="50"/>
      <c r="X1" s="50"/>
      <c r="Y1" s="49" t="s">
        <v>28</v>
      </c>
      <c r="Z1" s="50"/>
      <c r="AA1" s="50"/>
      <c r="AB1" s="21"/>
    </row>
    <row r="2" spans="1:28" ht="225" x14ac:dyDescent="0.35">
      <c r="A2" s="7"/>
      <c r="B2" s="7"/>
      <c r="C2" s="52" t="s">
        <v>30</v>
      </c>
      <c r="D2" s="50"/>
      <c r="E2" s="50"/>
      <c r="F2" s="50"/>
      <c r="G2" s="50"/>
      <c r="H2" s="53" t="s">
        <v>31</v>
      </c>
      <c r="I2" s="50"/>
      <c r="J2" s="50"/>
      <c r="K2" s="50"/>
      <c r="L2" s="50"/>
      <c r="M2" s="50"/>
      <c r="N2" s="50"/>
      <c r="O2" s="50"/>
      <c r="P2" s="50"/>
      <c r="Q2" s="23" t="s">
        <v>32</v>
      </c>
      <c r="R2" s="24" t="s">
        <v>33</v>
      </c>
      <c r="S2" s="22" t="s">
        <v>34</v>
      </c>
      <c r="T2" s="24" t="s">
        <v>35</v>
      </c>
      <c r="U2" s="24" t="s">
        <v>36</v>
      </c>
      <c r="V2" s="25" t="s">
        <v>37</v>
      </c>
      <c r="W2" s="25" t="s">
        <v>38</v>
      </c>
      <c r="X2" s="25" t="s">
        <v>39</v>
      </c>
      <c r="Y2" s="54" t="s">
        <v>40</v>
      </c>
      <c r="Z2" s="50"/>
      <c r="AA2" s="50"/>
      <c r="AB2" s="21"/>
    </row>
    <row r="3" spans="1:28" ht="15.75" customHeight="1" x14ac:dyDescent="0.35">
      <c r="A3" s="1" t="s">
        <v>0</v>
      </c>
      <c r="B3" s="1" t="s">
        <v>1</v>
      </c>
      <c r="C3" s="26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4" t="s">
        <v>8</v>
      </c>
      <c r="I3" s="5" t="s">
        <v>9</v>
      </c>
      <c r="J3" s="4" t="s">
        <v>10</v>
      </c>
      <c r="K3" s="5" t="s">
        <v>11</v>
      </c>
      <c r="L3" s="4" t="s">
        <v>12</v>
      </c>
      <c r="M3" s="5" t="s">
        <v>13</v>
      </c>
      <c r="N3" s="4" t="s">
        <v>14</v>
      </c>
      <c r="O3" s="5" t="s">
        <v>15</v>
      </c>
      <c r="P3" s="6" t="s">
        <v>16</v>
      </c>
      <c r="Q3" s="3" t="s">
        <v>41</v>
      </c>
      <c r="R3" s="27" t="s">
        <v>42</v>
      </c>
      <c r="S3" s="28" t="s">
        <v>7</v>
      </c>
      <c r="T3" s="29" t="s">
        <v>43</v>
      </c>
      <c r="U3" s="29" t="s">
        <v>44</v>
      </c>
      <c r="V3" s="20" t="s">
        <v>45</v>
      </c>
      <c r="W3" s="20" t="s">
        <v>46</v>
      </c>
      <c r="X3" s="27" t="s">
        <v>47</v>
      </c>
      <c r="Y3" s="3" t="s">
        <v>17</v>
      </c>
      <c r="Z3" s="30"/>
      <c r="AA3" s="30"/>
      <c r="AB3" s="21"/>
    </row>
    <row r="4" spans="1:28" ht="13.8" x14ac:dyDescent="0.3">
      <c r="A4" s="8" t="s">
        <v>48</v>
      </c>
      <c r="B4" s="9" t="s">
        <v>49</v>
      </c>
      <c r="C4" s="31"/>
      <c r="D4" s="32"/>
      <c r="E4" s="31"/>
      <c r="F4" s="31"/>
      <c r="G4" s="55" t="s">
        <v>6</v>
      </c>
      <c r="H4" s="11">
        <v>8</v>
      </c>
      <c r="I4" s="33">
        <f t="shared" ref="I4:I10" si="0">(H4/10)*100</f>
        <v>80</v>
      </c>
      <c r="J4" s="11">
        <v>13</v>
      </c>
      <c r="K4" s="33">
        <f t="shared" ref="K4:K5" si="1">(J4/20)*100</f>
        <v>65</v>
      </c>
      <c r="L4" s="11">
        <v>10</v>
      </c>
      <c r="M4" s="33">
        <f t="shared" ref="M4:M5" si="2">(L4/20)*100</f>
        <v>50</v>
      </c>
      <c r="N4" s="11">
        <v>6</v>
      </c>
      <c r="O4" s="33">
        <f t="shared" ref="O4:O5" si="3">(N4/10)*100</f>
        <v>60</v>
      </c>
      <c r="P4" s="12">
        <f>(SUM(H4,J4,L4,N4)/60)</f>
        <v>0.6166666666666667</v>
      </c>
      <c r="Q4" s="34">
        <f>(I4+K4+M4+O4)/4</f>
        <v>63.75</v>
      </c>
      <c r="R4" s="34">
        <v>85.56</v>
      </c>
      <c r="S4" s="48" cm="1">
        <f t="array" ref="S4">_xlfn.IFS(R4&gt;=80, 4, R4&gt;=75, 3.5, R4&gt;=70, 3, R4&gt;=65, 2.5, R4&gt;=60, 2, R4&gt;=55, 1.5, R4&gt;=50, 1, R4&lt;50, 0)</f>
        <v>4</v>
      </c>
      <c r="T4" s="35"/>
      <c r="U4" s="21"/>
      <c r="V4" s="34">
        <f t="shared" ref="V4:V9" si="4">T4*0.45</f>
        <v>0</v>
      </c>
      <c r="W4" s="34">
        <f t="shared" ref="W4:W9" si="5">U4*0.3</f>
        <v>0</v>
      </c>
      <c r="X4" s="34">
        <f t="shared" ref="X4:X9" si="6">Q4*0.25</f>
        <v>15.9375</v>
      </c>
      <c r="Y4" s="13" t="str">
        <f t="shared" ref="Y4:Y8" si="7">CONCATENATE("Your end-of-term exam marks are: Speaking ", I4, "%, Listening ", ROUND(K4, 2), "%, Reading ", ROUND(M4, 2), "%, and Writing ", ROUND(O4, 2), "%")</f>
        <v>Your end-of-term exam marks are: Speaking 80%, Listening 65%, Reading 50%, and Writing 60%</v>
      </c>
      <c r="Z4" s="36"/>
      <c r="AA4" s="36"/>
      <c r="AB4" s="21"/>
    </row>
    <row r="5" spans="1:28" ht="13.8" x14ac:dyDescent="0.3">
      <c r="A5" s="37" t="s">
        <v>50</v>
      </c>
      <c r="B5" s="7"/>
      <c r="C5" s="7"/>
      <c r="D5" s="10">
        <v>0</v>
      </c>
      <c r="E5" s="9" t="s">
        <v>18</v>
      </c>
      <c r="F5" s="9" t="s">
        <v>18</v>
      </c>
      <c r="G5" s="9" t="s">
        <v>6</v>
      </c>
      <c r="H5" s="7"/>
      <c r="I5" s="33">
        <f t="shared" si="0"/>
        <v>0</v>
      </c>
      <c r="J5" s="7"/>
      <c r="K5" s="33">
        <f t="shared" si="1"/>
        <v>0</v>
      </c>
      <c r="L5" s="7"/>
      <c r="M5" s="33">
        <f t="shared" si="2"/>
        <v>0</v>
      </c>
      <c r="N5" s="7"/>
      <c r="O5" s="33">
        <f t="shared" si="3"/>
        <v>0</v>
      </c>
      <c r="P5" s="12">
        <f t="shared" ref="P5" si="8">(SUM(H5,J5,L5,N5)/60)</f>
        <v>0</v>
      </c>
      <c r="Q5" s="34">
        <v>0</v>
      </c>
      <c r="R5" s="21"/>
      <c r="S5" s="48" cm="1">
        <f t="array" ref="S5">_xlfn.IFS(R5&gt;=80, 4, R5&gt;=75, 3.5, R5&gt;=70, 3, R5&gt;=65, 2.5, R5&gt;=60, 2, R5&gt;=55, 1.5, R5&gt;=50, 1, R5&lt;50, 0)</f>
        <v>0</v>
      </c>
      <c r="T5" s="35"/>
      <c r="U5" s="35"/>
      <c r="V5" s="34">
        <f t="shared" si="4"/>
        <v>0</v>
      </c>
      <c r="W5" s="34">
        <f t="shared" si="5"/>
        <v>0</v>
      </c>
      <c r="X5" s="34">
        <f t="shared" si="6"/>
        <v>0</v>
      </c>
      <c r="Y5" s="13" t="str">
        <f t="shared" si="7"/>
        <v>Your end-of-term exam marks are: Speaking 0%, Listening 0%, Reading 0%, and Writing 0%</v>
      </c>
      <c r="Z5" s="36"/>
      <c r="AA5" s="36"/>
      <c r="AB5" s="21"/>
    </row>
    <row r="6" spans="1:28" ht="13.8" x14ac:dyDescent="0.3">
      <c r="A6" s="37" t="s">
        <v>19</v>
      </c>
      <c r="B6" s="7"/>
      <c r="C6" s="7"/>
      <c r="D6" s="10">
        <v>0</v>
      </c>
      <c r="E6" s="9" t="s">
        <v>18</v>
      </c>
      <c r="F6" s="9" t="s">
        <v>18</v>
      </c>
      <c r="G6" s="9" t="s">
        <v>6</v>
      </c>
      <c r="H6" s="7"/>
      <c r="I6" s="33">
        <f t="shared" si="0"/>
        <v>0</v>
      </c>
      <c r="J6" s="7"/>
      <c r="K6" s="33">
        <f>(J6/25)*100</f>
        <v>0</v>
      </c>
      <c r="L6" s="7"/>
      <c r="M6" s="33">
        <f>(L6/15)*100</f>
        <v>0</v>
      </c>
      <c r="N6" s="7"/>
      <c r="O6" s="33">
        <f>(N6/15)*100</f>
        <v>0</v>
      </c>
      <c r="P6" s="12">
        <f>(SUM(H6,J6,L6,N6)/65)</f>
        <v>0</v>
      </c>
      <c r="Q6" s="34">
        <v>0</v>
      </c>
      <c r="R6" s="21"/>
      <c r="S6" s="48" cm="1">
        <f t="array" ref="S6">_xlfn.IFS(R6&gt;=80, 4, R6&gt;=75, 3.5, R6&gt;=70, 3, R6&gt;=65, 2.5, R6&gt;=60, 2, R6&gt;=55, 1.5, R6&gt;=50, 1, R6&lt;50, 0)</f>
        <v>0</v>
      </c>
      <c r="T6" s="35"/>
      <c r="U6" s="35"/>
      <c r="V6" s="34">
        <f t="shared" si="4"/>
        <v>0</v>
      </c>
      <c r="W6" s="34">
        <f t="shared" si="5"/>
        <v>0</v>
      </c>
      <c r="X6" s="34">
        <f t="shared" si="6"/>
        <v>0</v>
      </c>
      <c r="Y6" s="13" t="str">
        <f t="shared" si="7"/>
        <v>Your end-of-term exam marks are: Speaking 0%, Listening 0%, Reading 0%, and Writing 0%</v>
      </c>
      <c r="Z6" s="36"/>
      <c r="AA6" s="36"/>
      <c r="AB6" s="21"/>
    </row>
    <row r="7" spans="1:28" ht="13.8" x14ac:dyDescent="0.3">
      <c r="A7" s="37" t="s">
        <v>20</v>
      </c>
      <c r="B7" s="7"/>
      <c r="C7" s="7"/>
      <c r="D7" s="10">
        <v>0</v>
      </c>
      <c r="E7" s="9" t="s">
        <v>18</v>
      </c>
      <c r="F7" s="9" t="s">
        <v>18</v>
      </c>
      <c r="G7" s="9" t="s">
        <v>6</v>
      </c>
      <c r="H7" s="7"/>
      <c r="I7" s="33">
        <f t="shared" si="0"/>
        <v>0</v>
      </c>
      <c r="J7" s="7"/>
      <c r="K7" s="33">
        <f>(J7/30)*100</f>
        <v>0</v>
      </c>
      <c r="L7" s="7"/>
      <c r="M7" s="33">
        <f>(L7/26)*100</f>
        <v>0</v>
      </c>
      <c r="N7" s="7"/>
      <c r="O7" s="33">
        <f>(N7/14)*100</f>
        <v>0</v>
      </c>
      <c r="P7" s="12">
        <f>(SUM(H7,J7,L7,N7)/80)</f>
        <v>0</v>
      </c>
      <c r="Q7" s="34">
        <v>0</v>
      </c>
      <c r="R7" s="21"/>
      <c r="S7" s="48" cm="1">
        <f t="array" ref="S7">_xlfn.IFS(R7&gt;=80, 4, R7&gt;=75, 3.5, R7&gt;=70, 3, R7&gt;=65, 2.5, R7&gt;=60, 2, R7&gt;=55, 1.5, R7&gt;=50, 1, R7&lt;50, 0)</f>
        <v>0</v>
      </c>
      <c r="T7" s="35"/>
      <c r="U7" s="35"/>
      <c r="V7" s="34">
        <f t="shared" si="4"/>
        <v>0</v>
      </c>
      <c r="W7" s="34">
        <f t="shared" si="5"/>
        <v>0</v>
      </c>
      <c r="X7" s="34">
        <f t="shared" si="6"/>
        <v>0</v>
      </c>
      <c r="Y7" s="13" t="str">
        <f t="shared" si="7"/>
        <v>Your end-of-term exam marks are: Speaking 0%, Listening 0%, Reading 0%, and Writing 0%</v>
      </c>
      <c r="Z7" s="36"/>
      <c r="AA7" s="36"/>
      <c r="AB7" s="21"/>
    </row>
    <row r="8" spans="1:28" ht="13.8" x14ac:dyDescent="0.3">
      <c r="A8" s="37" t="s">
        <v>21</v>
      </c>
      <c r="B8" s="7"/>
      <c r="C8" s="7"/>
      <c r="D8" s="10">
        <v>0</v>
      </c>
      <c r="E8" s="9" t="s">
        <v>18</v>
      </c>
      <c r="F8" s="9" t="s">
        <v>18</v>
      </c>
      <c r="G8" s="9" t="s">
        <v>6</v>
      </c>
      <c r="H8" s="7"/>
      <c r="I8" s="33">
        <f t="shared" si="0"/>
        <v>0</v>
      </c>
      <c r="J8" s="7"/>
      <c r="K8" s="33">
        <f>(J8/40)*100</f>
        <v>0</v>
      </c>
      <c r="L8" s="7"/>
      <c r="M8" s="33">
        <f>(L8/13)*100</f>
        <v>0</v>
      </c>
      <c r="N8" s="7"/>
      <c r="O8" s="33">
        <f>(N8/13)*100</f>
        <v>0</v>
      </c>
      <c r="P8" s="12">
        <f>(SUM(H8,J8,L8,N8)/76)</f>
        <v>0</v>
      </c>
      <c r="Q8" s="34">
        <v>0</v>
      </c>
      <c r="R8" s="21"/>
      <c r="S8" s="48" cm="1">
        <f t="array" ref="S8">_xlfn.IFS(R8&gt;=80, 4, R8&gt;=75, 3.5, R8&gt;=70, 3, R8&gt;=65, 2.5, R8&gt;=60, 2, R8&gt;=55, 1.5, R8&gt;=50, 1, R8&lt;50, 0)</f>
        <v>0</v>
      </c>
      <c r="T8" s="35"/>
      <c r="U8" s="35"/>
      <c r="V8" s="34">
        <f t="shared" si="4"/>
        <v>0</v>
      </c>
      <c r="W8" s="34">
        <f t="shared" si="5"/>
        <v>0</v>
      </c>
      <c r="X8" s="34">
        <f t="shared" si="6"/>
        <v>0</v>
      </c>
      <c r="Y8" s="13" t="str">
        <f t="shared" si="7"/>
        <v>Your end-of-term exam marks are: Speaking 0%, Listening 0%, Reading 0%, and Writing 0%</v>
      </c>
      <c r="Z8" s="36"/>
      <c r="AA8" s="36"/>
      <c r="AB8" s="21"/>
    </row>
    <row r="9" spans="1:28" ht="13.8" x14ac:dyDescent="0.3">
      <c r="A9" s="38" t="s">
        <v>22</v>
      </c>
      <c r="B9" s="9" t="s">
        <v>51</v>
      </c>
      <c r="C9" s="7"/>
      <c r="D9" s="10">
        <v>0</v>
      </c>
      <c r="E9" s="9" t="s">
        <v>18</v>
      </c>
      <c r="F9" s="9" t="s">
        <v>18</v>
      </c>
      <c r="G9" s="9" t="s">
        <v>6</v>
      </c>
      <c r="H9" s="39"/>
      <c r="I9" s="40">
        <f t="shared" si="0"/>
        <v>0</v>
      </c>
      <c r="J9" s="39"/>
      <c r="K9" s="40">
        <f>(J9/15)*100</f>
        <v>0</v>
      </c>
      <c r="L9" s="39"/>
      <c r="M9" s="40">
        <f t="shared" ref="M9:M10" si="9">(L9/15)*100</f>
        <v>0</v>
      </c>
      <c r="N9" s="7"/>
      <c r="O9" s="33">
        <f t="shared" ref="O9" si="10">(N9/25)*100</f>
        <v>0</v>
      </c>
      <c r="P9" s="41">
        <f>(O9/25)*100</f>
        <v>0</v>
      </c>
      <c r="Q9" s="34">
        <f>P9</f>
        <v>0</v>
      </c>
      <c r="R9" s="21"/>
      <c r="S9" s="48" cm="1">
        <f t="array" ref="S9">_xlfn.IFS(R9&gt;=80, 4, R9&gt;=75, 3.5, R9&gt;=70, 3, R9&gt;=65, 2.5, R9&gt;=60, 2, R9&gt;=55, 1.5, R9&gt;=50, 1, R9&lt;50, 0)</f>
        <v>0</v>
      </c>
      <c r="T9" s="35"/>
      <c r="U9" s="35"/>
      <c r="V9" s="34">
        <f t="shared" si="4"/>
        <v>0</v>
      </c>
      <c r="W9" s="34">
        <f t="shared" si="5"/>
        <v>0</v>
      </c>
      <c r="X9" s="34">
        <f t="shared" si="6"/>
        <v>0</v>
      </c>
      <c r="Y9" s="13" t="str">
        <f>CONCATENATE("Your end-of-term exam marks are: Writing ", O9)</f>
        <v>Your end-of-term exam marks are: Writing 0</v>
      </c>
      <c r="Z9" s="36"/>
      <c r="AA9" s="36"/>
      <c r="AB9" s="21"/>
    </row>
    <row r="10" spans="1:28" ht="13.8" x14ac:dyDescent="0.3">
      <c r="A10" s="38" t="s">
        <v>24</v>
      </c>
      <c r="B10" s="9" t="s">
        <v>51</v>
      </c>
      <c r="C10" s="7"/>
      <c r="D10" s="10">
        <v>0</v>
      </c>
      <c r="E10" s="9" t="s">
        <v>18</v>
      </c>
      <c r="F10" s="9" t="s">
        <v>18</v>
      </c>
      <c r="G10" s="9" t="s">
        <v>6</v>
      </c>
      <c r="H10" s="39"/>
      <c r="I10" s="40">
        <f t="shared" si="0"/>
        <v>0</v>
      </c>
      <c r="J10" s="7"/>
      <c r="K10" s="33">
        <f>(J10/40)*100</f>
        <v>0</v>
      </c>
      <c r="L10" s="39"/>
      <c r="M10" s="40">
        <f t="shared" si="9"/>
        <v>0</v>
      </c>
      <c r="N10" s="7"/>
      <c r="O10" s="33">
        <f>(N10/20)*100</f>
        <v>0</v>
      </c>
      <c r="P10" s="12">
        <f>(SUM(J10,N10)/60)</f>
        <v>0</v>
      </c>
      <c r="Q10" s="42" t="s">
        <v>23</v>
      </c>
      <c r="R10" s="21"/>
      <c r="S10" s="48" cm="1">
        <f t="array" ref="S10">_xlfn.IFS(R10&gt;=80, 4, R10&gt;=75, 3.5, R10&gt;=70, 3, R10&gt;=65, 2.5, R10&gt;=60, 2, R10&gt;=55, 1.5, R10&gt;=50, 1, R10&lt;50, 0)</f>
        <v>0</v>
      </c>
      <c r="T10" s="43"/>
      <c r="U10" s="43"/>
      <c r="V10" s="40" t="s">
        <v>23</v>
      </c>
      <c r="W10" s="40" t="s">
        <v>23</v>
      </c>
      <c r="X10" s="40" t="s">
        <v>23</v>
      </c>
      <c r="Y10" s="13" t="str">
        <f>CONCATENATE("Your end-of-term exam marks are: Listening ", K10, ", Writing ", O10)</f>
        <v>Your end-of-term exam marks are: Listening 0, Writing 0</v>
      </c>
      <c r="Z10" s="36"/>
      <c r="AA10" s="36"/>
      <c r="AB10" s="21"/>
    </row>
    <row r="11" spans="1:28" ht="15.75" customHeight="1" x14ac:dyDescent="0.25">
      <c r="A11" s="7"/>
      <c r="B11" s="7"/>
      <c r="C11" s="7"/>
      <c r="D11" s="14"/>
      <c r="E11" s="7"/>
      <c r="F11" s="7"/>
      <c r="G11" s="7"/>
      <c r="H11" s="7"/>
      <c r="I11" s="35"/>
      <c r="J11" s="7"/>
      <c r="K11" s="35"/>
      <c r="L11" s="7"/>
      <c r="M11" s="35"/>
      <c r="N11" s="7"/>
      <c r="O11" s="35"/>
      <c r="P11" s="7"/>
      <c r="Q11" s="21"/>
      <c r="R11" s="35"/>
      <c r="S11" s="7"/>
      <c r="T11" s="35"/>
      <c r="U11" s="35"/>
      <c r="V11" s="35"/>
      <c r="W11" s="35"/>
      <c r="X11" s="35"/>
      <c r="Y11" s="7"/>
      <c r="Z11" s="7"/>
      <c r="AA11" s="7"/>
      <c r="AB11" s="7"/>
    </row>
    <row r="12" spans="1:28" ht="13.8" x14ac:dyDescent="0.3">
      <c r="A12" s="44" t="s">
        <v>25</v>
      </c>
      <c r="B12" s="16"/>
      <c r="C12" s="16"/>
      <c r="D12" s="17"/>
      <c r="E12" s="15" t="s">
        <v>26</v>
      </c>
      <c r="F12" s="16"/>
      <c r="G12" s="16"/>
      <c r="H12" s="16"/>
      <c r="I12" s="45">
        <f>AVERAGE(I4:I8)</f>
        <v>16</v>
      </c>
      <c r="J12" s="16"/>
      <c r="K12" s="45">
        <f>AVERAGE(K4:K8)</f>
        <v>13</v>
      </c>
      <c r="L12" s="16"/>
      <c r="M12" s="45">
        <f>AVERAGE(M4:M8)</f>
        <v>10</v>
      </c>
      <c r="N12" s="16"/>
      <c r="O12" s="45">
        <f t="shared" ref="O12:S12" si="11">AVERAGE(O4:O8)</f>
        <v>12</v>
      </c>
      <c r="P12" s="18">
        <f t="shared" si="11"/>
        <v>0.12333333333333334</v>
      </c>
      <c r="Q12" s="46">
        <f>AVERAGE(Q4:Q8)</f>
        <v>12.75</v>
      </c>
      <c r="R12" s="45">
        <f t="shared" si="11"/>
        <v>85.56</v>
      </c>
      <c r="S12" s="46">
        <f t="shared" si="11"/>
        <v>0.8</v>
      </c>
      <c r="T12" s="47"/>
      <c r="U12" s="47"/>
      <c r="V12" s="47"/>
      <c r="W12" s="47"/>
      <c r="X12" s="47"/>
      <c r="Y12" s="13" t="str">
        <f>CONCATENATE("For your class, the average end-of-term exam marks are: Speaking ", I12, "%, Listening ", ROUND(K12, 2), "%, Reading ", ROUND(M12, 2), "%, and Writing ", ROUND(O12, 2), "%")</f>
        <v>For your class, the average end-of-term exam marks are: Speaking 16%, Listening 13%, Reading 10%, and Writing 12%</v>
      </c>
      <c r="Z12" s="36"/>
      <c r="AA12" s="36"/>
      <c r="AB12" s="7"/>
    </row>
    <row r="13" spans="1:28" ht="15.75" customHeight="1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 x14ac:dyDescent="0.25">
      <c r="A14" s="7"/>
      <c r="B14" s="7"/>
      <c r="C14" s="7"/>
      <c r="D14" s="1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 x14ac:dyDescent="0.25">
      <c r="A15" s="7"/>
      <c r="B15" s="7"/>
      <c r="C15" s="7"/>
      <c r="D15" s="1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 x14ac:dyDescent="0.25">
      <c r="A16" s="7"/>
      <c r="B16" s="7"/>
      <c r="C16" s="7"/>
      <c r="D16" s="1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 x14ac:dyDescent="0.25">
      <c r="A17" s="7"/>
      <c r="B17" s="7"/>
      <c r="C17" s="7"/>
      <c r="D17" s="14"/>
      <c r="E17" s="7"/>
      <c r="F17" s="7"/>
      <c r="G17" s="7"/>
      <c r="H17" s="7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7"/>
      <c r="Z17" s="7"/>
      <c r="AA17" s="7"/>
      <c r="AB17" s="7"/>
    </row>
    <row r="18" spans="1:28" ht="15.75" customHeight="1" x14ac:dyDescent="0.25">
      <c r="A18" s="7"/>
      <c r="B18" s="7"/>
      <c r="C18" s="7"/>
      <c r="D18" s="14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 x14ac:dyDescent="0.25">
      <c r="A19" s="7"/>
      <c r="B19" s="7"/>
      <c r="C19" s="7"/>
      <c r="D19" s="1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 x14ac:dyDescent="0.25">
      <c r="A20" s="7"/>
      <c r="B20" s="7"/>
      <c r="C20" s="7"/>
      <c r="D20" s="1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</sheetData>
  <mergeCells count="6">
    <mergeCell ref="Q1:U1"/>
    <mergeCell ref="V1:X1"/>
    <mergeCell ref="Y1:AA1"/>
    <mergeCell ref="C2:G2"/>
    <mergeCell ref="H2:P2"/>
    <mergeCell ref="Y2:A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2026-02-25T12:56:56Z</dcterms:created>
  <dcterms:modified xsi:type="dcterms:W3CDTF">2026-02-25T12:57:20Z</dcterms:modified>
</cp:coreProperties>
</file>